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ummary" sheetId="1" state="visible" r:id="rId1"/>
    <sheet name="V1 - Encoding and Sanitization" sheetId="2" state="visible" r:id="rId2"/>
    <sheet name="V2 - Validation and Business Lo" sheetId="3" state="visible" r:id="rId3"/>
    <sheet name="V3 - Web Frontend Security" sheetId="4" state="visible" r:id="rId4"/>
    <sheet name="V4 - API and Web Service" sheetId="5" state="visible" r:id="rId5"/>
    <sheet name="V5 - File Handling" sheetId="6" state="visible" r:id="rId6"/>
    <sheet name="V6 - Authentication" sheetId="7" state="visible" r:id="rId7"/>
    <sheet name="V7 - Session Management" sheetId="8" state="visible" r:id="rId8"/>
    <sheet name="V8 - Authorization" sheetId="9" state="visible" r:id="rId9"/>
    <sheet name="V9 - Self-contained Tokens" sheetId="10" state="visible" r:id="rId10"/>
    <sheet name="V10 - OAuth and OIDC" sheetId="11" state="visible" r:id="rId11"/>
    <sheet name="V11 - Cryptography" sheetId="12" state="visible" r:id="rId12"/>
    <sheet name="V12 - Secure Communication" sheetId="13" state="visible" r:id="rId13"/>
    <sheet name="V13 - Configuration" sheetId="14" state="visible" r:id="rId14"/>
    <sheet name="V14 - Data Protection" sheetId="15" state="visible" r:id="rId15"/>
    <sheet name="V15 - Secure Coding and Archite" sheetId="16" state="visible" r:id="rId16"/>
    <sheet name="V16 - Security Logging and Erro" sheetId="17" state="visible" r:id="rId17"/>
    <sheet name="V17 - WebRTC" sheetId="18" state="visible" r:id="rId18"/>
  </sheets>
  <definedNames/>
  <calcPr calcId="124519" fullCalcOnLoad="1" refMode="A1" iterate="0" iterateCount="100" iterateDelta="0.0001"/>
</workbook>
</file>

<file path=xl/styles.xml><?xml version="1.0" encoding="utf-8"?>
<styleSheet xmlns="http://schemas.openxmlformats.org/spreadsheetml/2006/main">
  <numFmts count="0"/>
  <fonts count="14">
    <font>
      <name val="Calibri"/>
      <charset val="1"/>
      <family val="2"/>
      <color rgb="FF000000"/>
      <sz val="11"/>
    </font>
    <font>
      <name val="Arial"/>
      <family val="0"/>
      <sz val="10"/>
    </font>
    <font>
      <name val="Arial"/>
      <family val="0"/>
      <sz val="10"/>
    </font>
    <font>
      <name val="Arial"/>
      <family val="0"/>
      <sz val="10"/>
    </font>
    <font>
      <name val="Cambria"/>
      <charset val="1"/>
      <family val="0"/>
      <b val="1"/>
      <color rgb="FFFFFFFF"/>
      <sz val="16"/>
    </font>
    <font>
      <name val="Cambria"/>
      <charset val="1"/>
      <family val="0"/>
      <i val="1"/>
      <color rgb="FF595959"/>
      <sz val="10"/>
    </font>
    <font>
      <name val="Cambria"/>
      <charset val="1"/>
      <family val="0"/>
      <b val="1"/>
      <sz val="10"/>
    </font>
    <font>
      <name val="Cambria"/>
      <charset val="1"/>
      <family val="0"/>
      <b val="1"/>
      <sz val="9"/>
    </font>
    <font>
      <name val="Cambria"/>
      <charset val="1"/>
      <family val="0"/>
      <b val="1"/>
      <color rgb="FFFFFFFF"/>
      <sz val="9"/>
    </font>
    <font>
      <name val="Cambria"/>
      <charset val="1"/>
      <family val="0"/>
      <sz val="10"/>
    </font>
    <font>
      <name val="Cambria"/>
      <charset val="1"/>
      <family val="0"/>
      <b val="1"/>
      <color rgb="FFFFFFFF"/>
      <sz val="11"/>
    </font>
    <font>
      <name val="Cambria"/>
      <charset val="1"/>
      <family val="0"/>
      <b val="1"/>
      <color rgb="FFFFFFFF"/>
      <sz val="10"/>
    </font>
    <font>
      <name val="Arial"/>
      <family val="2"/>
      <sz val="10"/>
    </font>
    <font>
      <name val="Cambria"/>
      <charset val="1"/>
      <family val="0"/>
      <b val="1"/>
      <color rgb="FF1F3864"/>
      <sz val="10"/>
    </font>
  </fonts>
  <fills count="10">
    <fill>
      <patternFill/>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5">
    <xf numFmtId="0" fontId="0" fillId="0" borderId="0" applyAlignment="1" pivotButton="0" quotePrefix="0" xfId="0">
      <alignment horizontal="general" vertical="bottom"/>
    </xf>
    <xf numFmtId="0" fontId="4" fillId="2" borderId="0" applyAlignment="1" pivotButton="0" quotePrefix="0" xfId="0">
      <alignment horizontal="center" vertical="center"/>
    </xf>
    <xf numFmtId="0" fontId="5" fillId="0" borderId="0" applyAlignment="1" pivotButton="0" quotePrefix="0" xfId="0">
      <alignment horizontal="center" vertical="center"/>
    </xf>
    <xf numFmtId="0" fontId="6" fillId="0" borderId="0" applyAlignment="1" pivotButton="0" quotePrefix="0" xfId="0">
      <alignment horizontal="general" vertical="bottom"/>
    </xf>
    <xf numFmtId="0" fontId="7" fillId="0" borderId="0" applyAlignment="1" pivotButton="0" quotePrefix="0" xfId="0">
      <alignment horizontal="center" vertical="center"/>
    </xf>
    <xf numFmtId="0" fontId="8" fillId="2" borderId="1" applyAlignment="1" pivotButton="0" quotePrefix="0" xfId="0">
      <alignment horizontal="center" vertical="center" wrapText="1"/>
    </xf>
    <xf numFmtId="0" fontId="9" fillId="3" borderId="1" applyAlignment="1" pivotButton="0" quotePrefix="0" xfId="0">
      <alignment horizontal="left" vertical="center"/>
    </xf>
    <xf numFmtId="0" fontId="9" fillId="3" borderId="1" applyAlignment="1" pivotButton="0" quotePrefix="0" xfId="0">
      <alignment horizontal="center" vertical="center"/>
    </xf>
    <xf numFmtId="9" fontId="9" fillId="3" borderId="1" applyAlignment="1" pivotButton="0" quotePrefix="0" xfId="0">
      <alignment horizontal="center" vertical="center"/>
    </xf>
    <xf numFmtId="0" fontId="9" fillId="4" borderId="1" applyAlignment="1" pivotButton="0" quotePrefix="0" xfId="0">
      <alignment horizontal="left" vertical="center"/>
    </xf>
    <xf numFmtId="0" fontId="9" fillId="4" borderId="1" applyAlignment="1" pivotButton="0" quotePrefix="0" xfId="0">
      <alignment horizontal="center" vertical="center"/>
    </xf>
    <xf numFmtId="9" fontId="9" fillId="4" borderId="1" applyAlignment="1" pivotButton="0" quotePrefix="0" xfId="0">
      <alignment horizontal="center" vertical="center"/>
    </xf>
    <xf numFmtId="0" fontId="10" fillId="2" borderId="1" applyAlignment="1" pivotButton="0" quotePrefix="0" xfId="0">
      <alignment horizontal="general" vertical="bottom"/>
    </xf>
    <xf numFmtId="0" fontId="11" fillId="2" borderId="1" applyAlignment="1" pivotButton="0" quotePrefix="0" xfId="0">
      <alignment horizontal="center" vertical="center"/>
    </xf>
    <xf numFmtId="9" fontId="11" fillId="2" borderId="1" applyAlignment="1" pivotButton="0" quotePrefix="0" xfId="0">
      <alignment horizontal="center" vertical="center"/>
    </xf>
    <xf numFmtId="0" fontId="11" fillId="2" borderId="1" applyAlignment="1" pivotButton="0" quotePrefix="0" xfId="0">
      <alignment horizontal="center" vertical="center" wrapText="1"/>
    </xf>
    <xf numFmtId="0" fontId="13" fillId="5" borderId="1" applyAlignment="1" pivotButton="0" quotePrefix="0" xfId="0">
      <alignment horizontal="left" vertical="center"/>
    </xf>
    <xf numFmtId="0" fontId="0" fillId="3" borderId="1" applyAlignment="1" pivotButton="0" quotePrefix="0" xfId="0">
      <alignment horizontal="general" vertical="bottom"/>
    </xf>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6" fillId="6" borderId="1" applyAlignment="1" pivotButton="0" quotePrefix="0" xfId="0">
      <alignment horizontal="center" vertical="top"/>
    </xf>
    <xf numFmtId="0" fontId="0" fillId="7" borderId="1" applyAlignment="1" pivotButton="0" quotePrefix="0" xfId="0">
      <alignment horizontal="center" vertical="top"/>
    </xf>
    <xf numFmtId="0" fontId="0" fillId="4" borderId="1" applyAlignment="1" pivotButton="0" quotePrefix="0" xfId="0">
      <alignment horizontal="general" vertical="bottom"/>
    </xf>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6" fillId="8" borderId="1" applyAlignment="1" pivotButton="0" quotePrefix="0" xfId="0">
      <alignment horizontal="center" vertical="top"/>
    </xf>
    <xf numFmtId="0" fontId="6" fillId="9" borderId="1" applyAlignment="1" pivotButton="0" quotePrefix="0" xfId="0">
      <alignment horizontal="center" vertical="top"/>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xf>
    <xf numFmtId="0" fontId="5" fillId="0" borderId="0" applyAlignment="1" pivotButton="0" quotePrefix="0" xfId="0">
      <alignment horizontal="center" vertical="center"/>
    </xf>
    <xf numFmtId="0" fontId="6" fillId="0" borderId="0" applyAlignment="1" pivotButton="0" quotePrefix="0" xfId="0">
      <alignment horizontal="general" vertical="bottom"/>
    </xf>
    <xf numFmtId="0" fontId="7" fillId="0" borderId="0" applyAlignment="1" pivotButton="0" quotePrefix="0" xfId="0">
      <alignment horizontal="center" vertical="center"/>
    </xf>
    <xf numFmtId="0" fontId="8" fillId="2" borderId="1" applyAlignment="1" pivotButton="0" quotePrefix="0" xfId="0">
      <alignment horizontal="center" vertical="center" wrapText="1"/>
    </xf>
    <xf numFmtId="0" fontId="9" fillId="3" borderId="1" applyAlignment="1" pivotButton="0" quotePrefix="0" xfId="0">
      <alignment horizontal="left" vertical="center"/>
    </xf>
    <xf numFmtId="0" fontId="9" fillId="3" borderId="1" applyAlignment="1" pivotButton="0" quotePrefix="0" xfId="0">
      <alignment horizontal="center" vertical="center"/>
    </xf>
    <xf numFmtId="9" fontId="9" fillId="3" borderId="1" applyAlignment="1" pivotButton="0" quotePrefix="0" xfId="0">
      <alignment horizontal="center" vertical="center"/>
    </xf>
    <xf numFmtId="0" fontId="9" fillId="4" borderId="1" applyAlignment="1" pivotButton="0" quotePrefix="0" xfId="0">
      <alignment horizontal="left" vertical="center"/>
    </xf>
    <xf numFmtId="0" fontId="9" fillId="4" borderId="1" applyAlignment="1" pivotButton="0" quotePrefix="0" xfId="0">
      <alignment horizontal="center" vertical="center"/>
    </xf>
    <xf numFmtId="9" fontId="9" fillId="4" borderId="1" applyAlignment="1" pivotButton="0" quotePrefix="0" xfId="0">
      <alignment horizontal="center" vertical="center"/>
    </xf>
    <xf numFmtId="0" fontId="10" fillId="2" borderId="1" applyAlignment="1" pivotButton="0" quotePrefix="0" xfId="0">
      <alignment horizontal="general" vertical="bottom"/>
    </xf>
    <xf numFmtId="0" fontId="11" fillId="2" borderId="1" applyAlignment="1" pivotButton="0" quotePrefix="0" xfId="0">
      <alignment horizontal="center" vertical="center"/>
    </xf>
    <xf numFmtId="9" fontId="11" fillId="2" borderId="1" applyAlignment="1" pivotButton="0" quotePrefix="0" xfId="0">
      <alignment horizontal="center" vertical="center"/>
    </xf>
    <xf numFmtId="0" fontId="11" fillId="2" borderId="1" applyAlignment="1" pivotButton="0" quotePrefix="0" xfId="0">
      <alignment horizontal="center" vertical="center" wrapText="1"/>
    </xf>
    <xf numFmtId="0" fontId="13" fillId="5" borderId="1" applyAlignment="1" pivotButton="0" quotePrefix="0" xfId="0">
      <alignment horizontal="left" vertical="center"/>
    </xf>
    <xf numFmtId="0" fontId="0" fillId="3" borderId="1" applyAlignment="1" pivotButton="0" quotePrefix="0" xfId="0">
      <alignment horizontal="general" vertical="bottom"/>
    </xf>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6" fillId="6" borderId="1" applyAlignment="1" pivotButton="0" quotePrefix="0" xfId="0">
      <alignment horizontal="center" vertical="top"/>
    </xf>
    <xf numFmtId="0" fontId="0" fillId="7" borderId="1" applyAlignment="1" pivotButton="0" quotePrefix="0" xfId="0">
      <alignment horizontal="center" vertical="top"/>
    </xf>
    <xf numFmtId="0" fontId="0" fillId="4" borderId="1" applyAlignment="1" pivotButton="0" quotePrefix="0" xfId="0">
      <alignment horizontal="general" vertical="bottom"/>
    </xf>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6" fillId="8" borderId="1" applyAlignment="1" pivotButton="0" quotePrefix="0" xfId="0">
      <alignment horizontal="center" vertical="top"/>
    </xf>
    <xf numFmtId="0" fontId="6" fillId="9"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dxf/>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plotArea>
      <barChart>
        <barDir val="bar"/>
        <grouping val="clustered"/>
        <varyColors val="0"/>
        <ser>
          <idx val="0"/>
          <order val="0"/>
          <tx>
            <strRef>
              <f>Summary!$E$5</f>
              <strCache>
                <ptCount val="1"/>
                <pt idx="0">
                  <v>L1
%</v>
                </pt>
              </strCache>
            </strRef>
          </tx>
          <spPr>
            <a:solidFill>
              <a:srgbClr val="c6efce"/>
            </a:solidFill>
            <a:ln>
              <a:noFill/>
              <a:prstDash val="solid"/>
            </a:ln>
          </spPr>
          <invertIfNegative val="0"/>
          <dLbls>
            <txPr>
              <a:bodyPr/>
              <a:lstStyle/>
              <a:p>
                <a:pPr>
                  <a:defRPr sz="1000" b="0" strike="noStrike" spc="-1">
                    <a:latin typeface="Arial"/>
                  </a:defRPr>
                </a:pPr>
                <a:r>
                  <a:t>None</a:t>
                </a:r>
              </a:p>
            </txPr>
            <dLblPos val="outEnd"/>
            <showLegendKey val="0"/>
            <showVal val="0"/>
            <showCatName val="0"/>
            <showSerName val="0"/>
            <showPercent val="0"/>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General</formatCode>
                <ptCount val="17"/>
                <pt idx="0">
                  <v>0</v>
                </pt>
                <pt idx="1">
                  <v>0</v>
                </pt>
                <pt idx="2">
                  <v>0</v>
                </pt>
                <pt idx="3">
                  <v>0</v>
                </pt>
                <pt idx="4">
                  <v>0</v>
                </pt>
                <pt idx="5">
                  <v>0</v>
                </pt>
                <pt idx="6">
                  <v>0</v>
                </pt>
                <pt idx="7">
                  <v>0</v>
                </pt>
                <pt idx="8">
                  <v>0</v>
                </pt>
                <pt idx="9">
                  <v>0</v>
                </pt>
                <pt idx="10">
                  <v>0</v>
                </pt>
                <pt idx="11">
                  <v>0</v>
                </pt>
                <pt idx="12">
                  <v>0</v>
                </pt>
                <pt idx="13">
                  <v>0</v>
                </pt>
                <pt idx="14">
                  <v>0</v>
                </pt>
              </numCache>
            </numRef>
          </val>
        </ser>
        <ser>
          <idx val="1"/>
          <order val="1"/>
          <tx>
            <strRef>
              <f>Summary!$H$5</f>
              <strCache>
                <ptCount val="1"/>
                <pt idx="0">
                  <v>L2
%</v>
                </pt>
              </strCache>
            </strRef>
          </tx>
          <spPr>
            <a:solidFill>
              <a:srgbClr val="ffeb9c"/>
            </a:solidFill>
            <a:ln>
              <a:noFill/>
              <a:prstDash val="solid"/>
            </a:ln>
          </spPr>
          <invertIfNegative val="0"/>
          <dLbls>
            <txPr>
              <a:bodyPr/>
              <a:lstStyle/>
              <a:p>
                <a:pPr>
                  <a:defRPr sz="1000" b="0" strike="noStrike" spc="-1">
                    <a:latin typeface="Arial"/>
                  </a:defRPr>
                </a:pPr>
                <a:r>
                  <a:t>None</a:t>
                </a:r>
              </a:p>
            </txPr>
            <dLblPos val="outEnd"/>
            <showLegendKey val="0"/>
            <showVal val="0"/>
            <showCatName val="0"/>
            <showSerName val="0"/>
            <showPercent val="0"/>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General</formatCode>
                <ptCount val="17"/>
                <pt idx="0">
                  <v>0</v>
                </pt>
                <pt idx="1">
                  <v>0</v>
                </pt>
                <pt idx="2">
                  <v>0</v>
                </pt>
                <pt idx="3">
                  <v>0</v>
                </pt>
                <pt idx="4">
                  <v>0</v>
                </pt>
                <pt idx="5">
                  <v>0</v>
                </pt>
                <pt idx="6">
                  <v>0</v>
                </pt>
                <pt idx="7">
                  <v>0</v>
                </pt>
                <pt idx="8">
                  <v>0</v>
                </pt>
                <pt idx="9">
                  <v>0</v>
                </pt>
                <pt idx="10">
                  <v>0</v>
                </pt>
                <pt idx="11">
                  <v>0</v>
                </pt>
                <pt idx="12">
                  <v>0</v>
                </pt>
                <pt idx="13">
                  <v>0</v>
                </pt>
                <pt idx="14">
                  <v>0</v>
                </pt>
                <pt idx="15">
                  <v>0</v>
                </pt>
                <pt idx="16">
                  <v>0</v>
                </pt>
              </numCache>
            </numRef>
          </val>
        </ser>
        <ser>
          <idx val="2"/>
          <order val="2"/>
          <tx>
            <strRef>
              <f>Summary!$K$5</f>
              <strCache>
                <ptCount val="1"/>
                <pt idx="0">
                  <v>L3
%</v>
                </pt>
              </strCache>
            </strRef>
          </tx>
          <spPr>
            <a:solidFill>
              <a:srgbClr val="fabf8f"/>
            </a:solidFill>
            <a:ln>
              <a:noFill/>
              <a:prstDash val="solid"/>
            </a:ln>
          </spPr>
          <invertIfNegative val="0"/>
          <dLbls>
            <txPr>
              <a:bodyPr/>
              <a:lstStyle/>
              <a:p>
                <a:pPr>
                  <a:defRPr sz="1000" b="0" strike="noStrike" spc="-1">
                    <a:latin typeface="Arial"/>
                  </a:defRPr>
                </a:pPr>
                <a:r>
                  <a:t>None</a:t>
                </a:r>
              </a:p>
            </txPr>
            <dLblPos val="outEnd"/>
            <showLegendKey val="0"/>
            <showVal val="0"/>
            <showCatName val="0"/>
            <showSerName val="0"/>
            <showPercent val="0"/>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General</formatCode>
                <ptCount val="16"/>
                <pt idx="0">
                  <v>0</v>
                </pt>
                <pt idx="1">
                  <v>0</v>
                </pt>
                <pt idx="2">
                  <v>0</v>
                </pt>
                <pt idx="3">
                  <v>0</v>
                </pt>
                <pt idx="4">
                  <v>0</v>
                </pt>
                <pt idx="5">
                  <v>0</v>
                </pt>
                <pt idx="6">
                  <v>0</v>
                </pt>
                <pt idx="7">
                  <v>0</v>
                </pt>
                <pt idx="9">
                  <v>0</v>
                </pt>
                <pt idx="10">
                  <v>0</v>
                </pt>
                <pt idx="11">
                  <v>0</v>
                </pt>
                <pt idx="12">
                  <v>0</v>
                </pt>
                <pt idx="13">
                  <v>0</v>
                </pt>
                <pt idx="14">
                  <v>0</v>
                </pt>
                <pt idx="15">
                  <v>0</v>
                </pt>
              </numCache>
            </numRef>
          </val>
        </ser>
        <ser>
          <idx val="3"/>
          <order val="3"/>
          <tx>
            <strRef>
              <f>Summary!$M$5</f>
              <strCache>
                <ptCount val="1"/>
                <pt idx="0">
                  <v>Overall
%</v>
                </pt>
              </strCache>
            </strRef>
          </tx>
          <spPr>
            <a:solidFill>
              <a:srgbClr val="579d1c"/>
            </a:solidFill>
            <a:ln>
              <a:noFill/>
              <a:prstDash val="solid"/>
            </a:ln>
          </spPr>
          <invertIfNegative val="0"/>
          <dLbls>
            <txPr>
              <a:bodyPr/>
              <a:lstStyle/>
              <a:p>
                <a:pPr>
                  <a:defRPr sz="1000" b="0" strike="noStrike" spc="-1">
                    <a:latin typeface="Arial"/>
                  </a:defRPr>
                </a:pPr>
                <a:r>
                  <a:t>None</a:t>
                </a:r>
              </a:p>
            </txPr>
            <dLblPos val="outEnd"/>
            <showLegendKey val="0"/>
            <showVal val="0"/>
            <showCatName val="0"/>
            <showSerName val="0"/>
            <showPercent val="0"/>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General</formatCode>
                <ptCount val="17"/>
                <pt idx="0">
                  <v>0</v>
                </pt>
                <pt idx="1">
                  <v>0</v>
                </pt>
                <pt idx="2">
                  <v>0</v>
                </pt>
                <pt idx="3">
                  <v>0</v>
                </pt>
                <pt idx="4">
                  <v>0</v>
                </pt>
                <pt idx="5">
                  <v>0</v>
                </pt>
                <pt idx="6">
                  <v>0</v>
                </pt>
                <pt idx="7">
                  <v>0</v>
                </pt>
                <pt idx="8">
                  <v>0</v>
                </pt>
                <pt idx="9">
                  <v>0</v>
                </pt>
                <pt idx="10">
                  <v>0</v>
                </pt>
                <pt idx="11">
                  <v>0</v>
                </pt>
                <pt idx="12">
                  <v>0</v>
                </pt>
                <pt idx="13">
                  <v>0</v>
                </pt>
                <pt idx="14">
                  <v>0</v>
                </pt>
                <pt idx="15">
                  <v>0</v>
                </pt>
                <pt idx="16">
                  <v>0</v>
                </pt>
              </numCache>
            </numRef>
          </val>
        </ser>
        <gapWidth val="100"/>
        <overlap val="0"/>
        <axId val="28005530"/>
        <axId val="73737639"/>
      </barChart>
      <catAx>
        <axId val="28005530"/>
        <scaling>
          <orientation val="minMax"/>
        </scaling>
        <delete val="0"/>
        <axPos val="b"/>
        <numFmt formatCode="General" sourceLinked="1"/>
        <majorTickMark val="out"/>
        <minorTickMark val="none"/>
        <tickLblPos val="nextTo"/>
        <spPr>
          <a:ln>
            <a:solidFill>
              <a:srgbClr val="b3b3b3"/>
            </a:solidFill>
            <a:prstDash val="solid"/>
          </a:ln>
        </spPr>
        <txPr>
          <a:bodyPr/>
          <a:lstStyle/>
          <a:p>
            <a:pPr>
              <a:defRPr sz="1000" b="0" strike="noStrike" spc="-1">
                <a:latin typeface="Arial"/>
              </a:defRPr>
            </a:pPr>
            <a:r>
              <a:t>None</a:t>
            </a:r>
          </a:p>
        </txPr>
        <crossAx val="73737639"/>
        <crosses val="autoZero"/>
        <auto val="1"/>
        <lblAlgn val="ctr"/>
        <lblOffset val="100"/>
        <noMultiLvlLbl val="0"/>
      </catAx>
      <valAx>
        <axId val="73737639"/>
        <scaling>
          <orientation val="minMax"/>
        </scaling>
        <delete val="0"/>
        <axPos val="l"/>
        <majorGridlines>
          <spPr>
            <a:ln>
              <a:solidFill>
                <a:srgbClr val="b3b3b3"/>
              </a:solidFill>
              <a:prstDash val="solid"/>
            </a:ln>
          </spPr>
        </majorGridlines>
        <numFmt formatCode="0%" sourceLinked="0"/>
        <majorTickMark val="out"/>
        <minorTickMark val="none"/>
        <tickLblPos val="nextTo"/>
        <spPr>
          <a:ln>
            <a:solidFill>
              <a:srgbClr val="b3b3b3"/>
            </a:solidFill>
            <a:prstDash val="solid"/>
          </a:ln>
        </spPr>
        <txPr>
          <a:bodyPr/>
          <a:lstStyle/>
          <a:p>
            <a:pPr>
              <a:defRPr sz="1000" b="0" strike="noStrike" spc="-1">
                <a:latin typeface="Arial"/>
              </a:defRPr>
            </a:pPr>
            <a:r>
              <a:t>None</a:t>
            </a:r>
          </a:p>
        </txPr>
        <crossAx val="28005530"/>
        <crosses val="autoZero"/>
        <crossBetween val="between"/>
      </valAx>
    </plotArea>
    <legend>
      <legendPos val="r"/>
      <overlay val="0"/>
      <spPr>
        <a:noFill/>
        <a:ln>
          <a:noFill/>
          <a:prstDash val="solid"/>
        </a:ln>
      </spPr>
      <txPr>
        <a:bodyPr/>
        <a:lstStyle/>
        <a:p>
          <a:pPr>
            <a:defRPr sz="1000" b="0" strike="noStrike" spc="-1">
              <a:latin typeface="Arial"/>
            </a:defRPr>
          </a:pPr>
          <a:r>
            <a:t>None</a:t>
          </a:r>
        </a:p>
      </txPr>
    </legend>
    <plotVisOnly val="1"/>
    <dispBlanksAs val="gap"/>
  </chart>
  <spPr>
    <a:solidFill>
      <a:srgbClr val="ffffff"/>
    </a:solidFill>
    <a:l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38880</colOff>
      <row>24</row>
      <rowOff>10440</rowOff>
    </from>
    <to>
      <col>12</col>
      <colOff>857520</colOff>
      <row>47</row>
      <rowOff>56880</rowOff>
    </to>
    <graphicFrame>
      <nvGraphicFramePr>
        <cNvPr id="1" name="Chart 1"/>
        <cNvGraphicFramePr/>
      </nvGraphicFramePr>
      <xfrm/>
      <a:graphic>
        <a:graphicData uri="http://schemas.openxmlformats.org/drawingml/2006/chart">
          <c:chart r:id="rId1"/>
        </a:graphicData>
      </a:graphic>
    </graphicFrame>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0"/>
  </sheetPr>
  <dimension ref="A1:P23"/>
  <sheetViews>
    <sheetView showFormulas="0" showGridLines="0" showRowColHeaders="1" showZeros="1" rightToLeft="0" tabSelected="1" showOutlineSymbols="1" defaultGridColor="1" view="normal" topLeftCell="A1" colorId="64" zoomScale="75" zoomScaleNormal="75" zoomScalePageLayoutView="100" workbookViewId="0">
      <selection pane="topLeft" activeCell="S40" activeCellId="0" sqref="S40"/>
    </sheetView>
  </sheetViews>
  <sheetFormatPr baseColWidth="8" defaultColWidth="8.54296875" defaultRowHeight="15" zeroHeight="0" outlineLevelRow="0"/>
  <cols>
    <col width="34" customWidth="1" style="27" min="1" max="1"/>
    <col width="11" customWidth="1" style="27" min="2" max="13"/>
  </cols>
  <sheetData>
    <row r="1" ht="36" customHeight="1" s="28">
      <c r="A1" s="29" t="inlineStr">
        <is>
          <t>OWASP ASVS 5.0 – Compliance Tracker</t>
        </is>
      </c>
    </row>
    <row r="2" ht="20" customHeight="1" s="28">
      <c r="A2" s="30" t="n"/>
    </row>
    <row r="3" ht="18" customHeight="1" s="28">
      <c r="A3" s="31" t="n"/>
      <c r="C3" s="32" t="n"/>
      <c r="E3" s="32" t="n"/>
      <c r="G3" s="32" t="n"/>
      <c r="I3" s="32" t="n"/>
      <c r="K3" s="32" t="n"/>
      <c r="M3" s="32" t="n"/>
      <c r="O3" s="32" t="n"/>
    </row>
    <row r="5" ht="32" customHeight="1" s="28">
      <c r="A5" s="33" t="inlineStr">
        <is>
          <t>Chapter</t>
        </is>
      </c>
      <c r="B5" s="33" t="inlineStr">
        <is>
          <t>Total
Reqs</t>
        </is>
      </c>
      <c r="C5" s="33" t="inlineStr">
        <is>
          <t>L1
Total</t>
        </is>
      </c>
      <c r="D5" s="33" t="inlineStr">
        <is>
          <t>L1
Compliant</t>
        </is>
      </c>
      <c r="E5" s="33" t="inlineStr">
        <is>
          <t>L1
%</t>
        </is>
      </c>
      <c r="F5" s="33" t="inlineStr">
        <is>
          <t>L2
Total</t>
        </is>
      </c>
      <c r="G5" s="33" t="inlineStr">
        <is>
          <t>L2
Compliant</t>
        </is>
      </c>
      <c r="H5" s="33" t="inlineStr">
        <is>
          <t>L2
%</t>
        </is>
      </c>
      <c r="I5" s="33" t="inlineStr">
        <is>
          <t>L3
Total</t>
        </is>
      </c>
      <c r="J5" s="33" t="inlineStr">
        <is>
          <t>L3
Compliant</t>
        </is>
      </c>
      <c r="K5" s="33" t="inlineStr">
        <is>
          <t>L3
%</t>
        </is>
      </c>
      <c r="L5" s="33" t="inlineStr">
        <is>
          <t>Overall
Compliant</t>
        </is>
      </c>
      <c r="M5" s="33" t="inlineStr">
        <is>
          <t>Overall
%</t>
        </is>
      </c>
    </row>
    <row r="6" ht="18" customHeight="1" s="28">
      <c r="A6" s="34" t="inlineStr">
        <is>
          <t>V1 – Encoding and Sanitization</t>
        </is>
      </c>
      <c r="B6" s="35" t="n">
        <v>30</v>
      </c>
      <c r="C6" s="35" t="n">
        <v>8</v>
      </c>
      <c r="D6" s="35">
        <f>COUNTIFS('V1 - Encoding and Sanitization'!$F$2:$F$36,"Compliant",'V1 - Encoding and Sanitization'!$E$2:$E$36,1)</f>
        <v/>
      </c>
      <c r="E6" s="36">
        <f>IF(C6=0,"",D6/C6)</f>
        <v/>
      </c>
      <c r="F6" s="35" t="n">
        <v>19</v>
      </c>
      <c r="G6" s="35">
        <f>COUNTIFS('V1 - Encoding and Sanitization'!$F$2:$F$36,"Compliant",'V1 - Encoding and Sanitization'!$E$2:$E$36,2)</f>
        <v/>
      </c>
      <c r="H6" s="36">
        <f>IF(F6=0,"",G6/F6)</f>
        <v/>
      </c>
      <c r="I6" s="35" t="n">
        <v>3</v>
      </c>
      <c r="J6" s="35">
        <f>COUNTIFS('V1 - Encoding and Sanitization'!$F$2:$F$36,"Compliant",'V1 - Encoding and Sanitization'!$E$2:$E$36,3)</f>
        <v/>
      </c>
      <c r="K6" s="36">
        <f>IF(I6=0,"",J6/I6)</f>
        <v/>
      </c>
      <c r="L6" s="35">
        <f>COUNTIF('V1 - Encoding and Sanitization'!$F$2:$F$36,"Compliant")</f>
        <v/>
      </c>
      <c r="M6" s="36">
        <f>IF(B6=0,"",L6/B6)</f>
        <v/>
      </c>
    </row>
    <row r="7" ht="18" customHeight="1" s="28">
      <c r="A7" s="37" t="inlineStr">
        <is>
          <t>V2 – Validation and Business Logic</t>
        </is>
      </c>
      <c r="B7" s="38" t="n">
        <v>13</v>
      </c>
      <c r="C7" s="38" t="n">
        <v>4</v>
      </c>
      <c r="D7" s="38">
        <f>COUNTIFS('V2 - Validation and Business Lo'!$F$2:$F$18,"Compliant",'V2 - Validation and Business Lo'!$E$2:$E$18,1)</f>
        <v/>
      </c>
      <c r="E7" s="39">
        <f>IF(C7=0,"",D7/C7)</f>
        <v/>
      </c>
      <c r="F7" s="38" t="n">
        <v>7</v>
      </c>
      <c r="G7" s="38">
        <f>COUNTIFS('V2 - Validation and Business Lo'!$F$2:$F$18,"Compliant",'V2 - Validation and Business Lo'!$E$2:$E$18,2)</f>
        <v/>
      </c>
      <c r="H7" s="39">
        <f>IF(F7=0,"",G7/F7)</f>
        <v/>
      </c>
      <c r="I7" s="38" t="n">
        <v>2</v>
      </c>
      <c r="J7" s="38">
        <f>COUNTIFS('V2 - Validation and Business Lo'!$F$2:$F$18,"Compliant",'V2 - Validation and Business Lo'!$E$2:$E$18,3)</f>
        <v/>
      </c>
      <c r="K7" s="39">
        <f>IF(I7=0,"",J7/I7)</f>
        <v/>
      </c>
      <c r="L7" s="38">
        <f>COUNTIF('V2 - Validation and Business Lo'!$F$2:$F$18,"Compliant")</f>
        <v/>
      </c>
      <c r="M7" s="39">
        <f>IF(B7=0,"",L7/B7)</f>
        <v/>
      </c>
    </row>
    <row r="8" ht="18" customHeight="1" s="28">
      <c r="A8" s="34" t="inlineStr">
        <is>
          <t>V3 – Web Frontend Security</t>
        </is>
      </c>
      <c r="B8" s="35" t="n">
        <v>31</v>
      </c>
      <c r="C8" s="35" t="n">
        <v>8</v>
      </c>
      <c r="D8" s="35">
        <f>COUNTIFS('V3 - Web Frontend Security'!$F$2:$F$39,"Compliant",'V3 - Web Frontend Security'!$E$2:$E$39,1)</f>
        <v/>
      </c>
      <c r="E8" s="36">
        <f>IF(C8=0,"",D8/C8)</f>
        <v/>
      </c>
      <c r="F8" s="35" t="n">
        <v>11</v>
      </c>
      <c r="G8" s="35">
        <f>COUNTIFS('V3 - Web Frontend Security'!$F$2:$F$39,"Compliant",'V3 - Web Frontend Security'!$E$2:$E$39,2)</f>
        <v/>
      </c>
      <c r="H8" s="36">
        <f>IF(F8=0,"",G8/F8)</f>
        <v/>
      </c>
      <c r="I8" s="35" t="n">
        <v>12</v>
      </c>
      <c r="J8" s="35">
        <f>COUNTIFS('V3 - Web Frontend Security'!$F$2:$F$39,"Compliant",'V3 - Web Frontend Security'!$E$2:$E$39,3)</f>
        <v/>
      </c>
      <c r="K8" s="36">
        <f>IF(I8=0,"",J8/I8)</f>
        <v/>
      </c>
      <c r="L8" s="35">
        <f>COUNTIF('V3 - Web Frontend Security'!$F$2:$F$39,"Compliant")</f>
        <v/>
      </c>
      <c r="M8" s="36">
        <f>IF(B8=0,"",L8/B8)</f>
        <v/>
      </c>
    </row>
    <row r="9" ht="18" customHeight="1" s="28">
      <c r="A9" s="37" t="inlineStr">
        <is>
          <t>V4 – API and Web Service</t>
        </is>
      </c>
      <c r="B9" s="38" t="n">
        <v>16</v>
      </c>
      <c r="C9" s="38" t="n">
        <v>2</v>
      </c>
      <c r="D9" s="38">
        <f>COUNTIFS('V4 - API and Web Service'!$F$2:$F$21,"Compliant",'V4 - API and Web Service'!$E$2:$E$21,1)</f>
        <v/>
      </c>
      <c r="E9" s="39">
        <f>IF(C9=0,"",D9/C9)</f>
        <v/>
      </c>
      <c r="F9" s="38" t="n">
        <v>8</v>
      </c>
      <c r="G9" s="38">
        <f>COUNTIFS('V4 - API and Web Service'!$F$2:$F$21,"Compliant",'V4 - API and Web Service'!$E$2:$E$21,2)</f>
        <v/>
      </c>
      <c r="H9" s="39">
        <f>IF(F9=0,"",G9/F9)</f>
        <v/>
      </c>
      <c r="I9" s="38" t="n">
        <v>6</v>
      </c>
      <c r="J9" s="38">
        <f>COUNTIFS('V4 - API and Web Service'!$F$2:$F$21,"Compliant",'V4 - API and Web Service'!$E$2:$E$21,3)</f>
        <v/>
      </c>
      <c r="K9" s="39">
        <f>IF(I9=0,"",J9/I9)</f>
        <v/>
      </c>
      <c r="L9" s="38">
        <f>COUNTIF('V4 - API and Web Service'!$F$2:$F$21,"Compliant")</f>
        <v/>
      </c>
      <c r="M9" s="39">
        <f>IF(B9=0,"",L9/B9)</f>
        <v/>
      </c>
    </row>
    <row r="10" ht="18" customHeight="1" s="28">
      <c r="A10" s="34" t="inlineStr">
        <is>
          <t>V5 – File Handling</t>
        </is>
      </c>
      <c r="B10" s="35" t="n">
        <v>13</v>
      </c>
      <c r="C10" s="35" t="n">
        <v>4</v>
      </c>
      <c r="D10" s="35">
        <f>COUNTIFS('V5 - File Handling'!$F$2:$F$18,"Compliant",'V5 - File Handling'!$E$2:$E$18,1)</f>
        <v/>
      </c>
      <c r="E10" s="36">
        <f>IF(C10=0,"",D10/C10)</f>
        <v/>
      </c>
      <c r="F10" s="35" t="n">
        <v>5</v>
      </c>
      <c r="G10" s="35">
        <f>COUNTIFS('V5 - File Handling'!$F$2:$F$18,"Compliant",'V5 - File Handling'!$E$2:$E$18,2)</f>
        <v/>
      </c>
      <c r="H10" s="36">
        <f>IF(F10=0,"",G10/F10)</f>
        <v/>
      </c>
      <c r="I10" s="35" t="n">
        <v>4</v>
      </c>
      <c r="J10" s="35">
        <f>COUNTIFS('V5 - File Handling'!$F$2:$F$18,"Compliant",'V5 - File Handling'!$E$2:$E$18,3)</f>
        <v/>
      </c>
      <c r="K10" s="36">
        <f>IF(I10=0,"",J10/I10)</f>
        <v/>
      </c>
      <c r="L10" s="35">
        <f>COUNTIF('V5 - File Handling'!$F$2:$F$18,"Compliant")</f>
        <v/>
      </c>
      <c r="M10" s="36">
        <f>IF(B10=0,"",L10/B10)</f>
        <v/>
      </c>
    </row>
    <row r="11" ht="18" customHeight="1" s="28">
      <c r="A11" s="37" t="inlineStr">
        <is>
          <t>V6 – Authentication</t>
        </is>
      </c>
      <c r="B11" s="38" t="n">
        <v>47</v>
      </c>
      <c r="C11" s="38" t="n">
        <v>13</v>
      </c>
      <c r="D11" s="38">
        <f>COUNTIFS('V6 - Authentication'!$F$2:$F$56,"Compliant",'V6 - Authentication'!$E$2:$E$56,1)</f>
        <v/>
      </c>
      <c r="E11" s="39">
        <f>IF(C11=0,"",D11/C11)</f>
        <v/>
      </c>
      <c r="F11" s="38" t="n">
        <v>22</v>
      </c>
      <c r="G11" s="38">
        <f>COUNTIFS('V6 - Authentication'!$F$2:$F$56,"Compliant",'V6 - Authentication'!$E$2:$E$56,2)</f>
        <v/>
      </c>
      <c r="H11" s="39">
        <f>IF(F11=0,"",G11/F11)</f>
        <v/>
      </c>
      <c r="I11" s="38" t="n">
        <v>12</v>
      </c>
      <c r="J11" s="38">
        <f>COUNTIFS('V6 - Authentication'!$F$2:$F$56,"Compliant",'V6 - Authentication'!$E$2:$E$56,3)</f>
        <v/>
      </c>
      <c r="K11" s="39">
        <f>IF(I11=0,"",J11/I11)</f>
        <v/>
      </c>
      <c r="L11" s="38">
        <f>COUNTIF('V6 - Authentication'!$F$2:$F$56,"Compliant")</f>
        <v/>
      </c>
      <c r="M11" s="39">
        <f>IF(B11=0,"",L11/B11)</f>
        <v/>
      </c>
    </row>
    <row r="12" ht="18" customHeight="1" s="28">
      <c r="A12" s="34" t="inlineStr">
        <is>
          <t>V7 – Session Management</t>
        </is>
      </c>
      <c r="B12" s="35" t="n">
        <v>19</v>
      </c>
      <c r="C12" s="35" t="n">
        <v>6</v>
      </c>
      <c r="D12" s="35">
        <f>COUNTIFS('V7 - Session Management'!$F$2:$F$26,"Compliant",'V7 - Session Management'!$E$2:$E$26,1)</f>
        <v/>
      </c>
      <c r="E12" s="36">
        <f>IF(C12=0,"",D12/C12)</f>
        <v/>
      </c>
      <c r="F12" s="35" t="n">
        <v>12</v>
      </c>
      <c r="G12" s="35">
        <f>COUNTIFS('V7 - Session Management'!$F$2:$F$26,"Compliant",'V7 - Session Management'!$E$2:$E$26,2)</f>
        <v/>
      </c>
      <c r="H12" s="36">
        <f>IF(F12=0,"",G12/F12)</f>
        <v/>
      </c>
      <c r="I12" s="35" t="n">
        <v>1</v>
      </c>
      <c r="J12" s="35">
        <f>COUNTIFS('V7 - Session Management'!$F$2:$F$26,"Compliant",'V7 - Session Management'!$E$2:$E$26,3)</f>
        <v/>
      </c>
      <c r="K12" s="36">
        <f>IF(I12=0,"",J12/I12)</f>
        <v/>
      </c>
      <c r="L12" s="35">
        <f>COUNTIF('V7 - Session Management'!$F$2:$F$26,"Compliant")</f>
        <v/>
      </c>
      <c r="M12" s="36">
        <f>IF(B12=0,"",L12/B12)</f>
        <v/>
      </c>
    </row>
    <row r="13" ht="18" customHeight="1" s="28">
      <c r="A13" s="37" t="inlineStr">
        <is>
          <t>V8 – Authorization</t>
        </is>
      </c>
      <c r="B13" s="38" t="n">
        <v>13</v>
      </c>
      <c r="C13" s="38" t="n">
        <v>4</v>
      </c>
      <c r="D13" s="38">
        <f>COUNTIFS('V8 - Authorization'!$F$2:$F$18,"Compliant",'V8 - Authorization'!$E$2:$E$18,1)</f>
        <v/>
      </c>
      <c r="E13" s="39">
        <f>IF(C13=0,"",D13/C13)</f>
        <v/>
      </c>
      <c r="F13" s="38" t="n">
        <v>3</v>
      </c>
      <c r="G13" s="38">
        <f>COUNTIFS('V8 - Authorization'!$F$2:$F$18,"Compliant",'V8 - Authorization'!$E$2:$E$18,2)</f>
        <v/>
      </c>
      <c r="H13" s="39">
        <f>IF(F13=0,"",G13/F13)</f>
        <v/>
      </c>
      <c r="I13" s="38" t="n">
        <v>6</v>
      </c>
      <c r="J13" s="38">
        <f>COUNTIFS('V8 - Authorization'!$F$2:$F$18,"Compliant",'V8 - Authorization'!$E$2:$E$18,3)</f>
        <v/>
      </c>
      <c r="K13" s="39">
        <f>IF(I13=0,"",J13/I13)</f>
        <v/>
      </c>
      <c r="L13" s="38">
        <f>COUNTIF('V8 - Authorization'!$F$2:$F$18,"Compliant")</f>
        <v/>
      </c>
      <c r="M13" s="39">
        <f>IF(B13=0,"",L13/B13)</f>
        <v/>
      </c>
    </row>
    <row r="14" ht="18" customHeight="1" s="28">
      <c r="A14" s="34" t="inlineStr">
        <is>
          <t>V9 – Self-contained Tokens</t>
        </is>
      </c>
      <c r="B14" s="35" t="n">
        <v>7</v>
      </c>
      <c r="C14" s="35" t="n">
        <v>4</v>
      </c>
      <c r="D14" s="35">
        <f>COUNTIFS('V9 - Self-contained Tokens'!$F$2:$F$10,"Compliant",'V9 - Self-contained Tokens'!$E$2:$E$10,1)</f>
        <v/>
      </c>
      <c r="E14" s="36">
        <f>IF(C14=0,"",D14/C14)</f>
        <v/>
      </c>
      <c r="F14" s="35" t="n">
        <v>3</v>
      </c>
      <c r="G14" s="35">
        <f>COUNTIFS('V9 - Self-contained Tokens'!$F$2:$F$10,"Compliant",'V9 - Self-contained Tokens'!$E$2:$E$10,2)</f>
        <v/>
      </c>
      <c r="H14" s="36">
        <f>IF(F14=0,"",G14/F14)</f>
        <v/>
      </c>
      <c r="I14" s="35" t="n">
        <v>0</v>
      </c>
      <c r="J14" s="35" t="inlineStr">
        <is>
          <t>N/A</t>
        </is>
      </c>
      <c r="K14" s="35" t="inlineStr">
        <is>
          <t>N/A</t>
        </is>
      </c>
      <c r="L14" s="35">
        <f>COUNTIF('V9 - Self-contained Tokens'!$F$2:$F$10,"Compliant")</f>
        <v/>
      </c>
      <c r="M14" s="36">
        <f>IF(B14=0,"",L14/B14)</f>
        <v/>
      </c>
    </row>
    <row r="15" ht="18" customHeight="1" s="28">
      <c r="A15" s="37" t="inlineStr">
        <is>
          <t>V10 – OAuth and OIDC</t>
        </is>
      </c>
      <c r="B15" s="38" t="n">
        <v>36</v>
      </c>
      <c r="C15" s="38" t="n">
        <v>5</v>
      </c>
      <c r="D15" s="38">
        <f>COUNTIFS('V10 - OAuth and OIDC'!$F$2:$F$44,"Compliant",'V10 - OAuth and OIDC'!$E$2:$E$44,1)</f>
        <v/>
      </c>
      <c r="E15" s="39">
        <f>IF(C15=0,"",D15/C15)</f>
        <v/>
      </c>
      <c r="F15" s="38" t="n">
        <v>24</v>
      </c>
      <c r="G15" s="38">
        <f>COUNTIFS('V10 - OAuth and OIDC'!$F$2:$F$44,"Compliant",'V10 - OAuth and OIDC'!$E$2:$E$44,2)</f>
        <v/>
      </c>
      <c r="H15" s="39">
        <f>IF(F15=0,"",G15/F15)</f>
        <v/>
      </c>
      <c r="I15" s="38" t="n">
        <v>7</v>
      </c>
      <c r="J15" s="38">
        <f>COUNTIFS('V10 - OAuth and OIDC'!$F$2:$F$44,"Compliant",'V10 - OAuth and OIDC'!$E$2:$E$44,3)</f>
        <v/>
      </c>
      <c r="K15" s="39">
        <f>IF(I15=0,"",J15/I15)</f>
        <v/>
      </c>
      <c r="L15" s="38">
        <f>COUNTIF('V10 - OAuth and OIDC'!$F$2:$F$44,"Compliant")</f>
        <v/>
      </c>
      <c r="M15" s="39">
        <f>IF(B15=0,"",L15/B15)</f>
        <v/>
      </c>
    </row>
    <row r="16" ht="18" customHeight="1" s="28">
      <c r="A16" s="34" t="inlineStr">
        <is>
          <t>V11 – Cryptography</t>
        </is>
      </c>
      <c r="B16" s="35" t="n">
        <v>24</v>
      </c>
      <c r="C16" s="35" t="n">
        <v>3</v>
      </c>
      <c r="D16" s="35">
        <f>COUNTIFS('V11 - Cryptography'!$F$2:$F$32,"Compliant",'V11 - Cryptography'!$E$2:$E$32,1)</f>
        <v/>
      </c>
      <c r="E16" s="36">
        <f>IF(C16=0,"",D16/C16)</f>
        <v/>
      </c>
      <c r="F16" s="35" t="n">
        <v>11</v>
      </c>
      <c r="G16" s="35">
        <f>COUNTIFS('V11 - Cryptography'!$F$2:$F$32,"Compliant",'V11 - Cryptography'!$E$2:$E$32,2)</f>
        <v/>
      </c>
      <c r="H16" s="36">
        <f>IF(F16=0,"",G16/F16)</f>
        <v/>
      </c>
      <c r="I16" s="35" t="n">
        <v>10</v>
      </c>
      <c r="J16" s="35">
        <f>COUNTIFS('V11 - Cryptography'!$F$2:$F$32,"Compliant",'V11 - Cryptography'!$E$2:$E$32,3)</f>
        <v/>
      </c>
      <c r="K16" s="36">
        <f>IF(I16=0,"",J16/I16)</f>
        <v/>
      </c>
      <c r="L16" s="35">
        <f>COUNTIF('V11 - Cryptography'!$F$2:$F$32,"Compliant")</f>
        <v/>
      </c>
      <c r="M16" s="36">
        <f>IF(B16=0,"",L16/B16)</f>
        <v/>
      </c>
    </row>
    <row r="17" ht="18" customHeight="1" s="28">
      <c r="A17" s="37" t="inlineStr">
        <is>
          <t>V12 – Secure Communication</t>
        </is>
      </c>
      <c r="B17" s="38" t="n">
        <v>12</v>
      </c>
      <c r="C17" s="38" t="n">
        <v>3</v>
      </c>
      <c r="D17" s="38">
        <f>COUNTIFS('V12 - Secure Communication'!$F$2:$F$16,"Compliant",'V12 - Secure Communication'!$E$2:$E$16,1)</f>
        <v/>
      </c>
      <c r="E17" s="39">
        <f>IF(C17=0,"",D17/C17)</f>
        <v/>
      </c>
      <c r="F17" s="38" t="n">
        <v>6</v>
      </c>
      <c r="G17" s="38">
        <f>COUNTIFS('V12 - Secure Communication'!$F$2:$F$16,"Compliant",'V12 - Secure Communication'!$E$2:$E$16,2)</f>
        <v/>
      </c>
      <c r="H17" s="39">
        <f>IF(F17=0,"",G17/F17)</f>
        <v/>
      </c>
      <c r="I17" s="38" t="n">
        <v>3</v>
      </c>
      <c r="J17" s="38">
        <f>COUNTIFS('V12 - Secure Communication'!$F$2:$F$16,"Compliant",'V12 - Secure Communication'!$E$2:$E$16,3)</f>
        <v/>
      </c>
      <c r="K17" s="39">
        <f>IF(I17=0,"",J17/I17)</f>
        <v/>
      </c>
      <c r="L17" s="38">
        <f>COUNTIF('V12 - Secure Communication'!$F$2:$F$16,"Compliant")</f>
        <v/>
      </c>
      <c r="M17" s="39">
        <f>IF(B17=0,"",L17/B17)</f>
        <v/>
      </c>
    </row>
    <row r="18" ht="18" customHeight="1" s="28">
      <c r="A18" s="34" t="inlineStr">
        <is>
          <t>V13 – Configuration</t>
        </is>
      </c>
      <c r="B18" s="35" t="n">
        <v>21</v>
      </c>
      <c r="C18" s="35" t="n">
        <v>1</v>
      </c>
      <c r="D18" s="35">
        <f>COUNTIFS('V13 - Configuration'!$F$2:$F$26,"Compliant",'V13 - Configuration'!$E$2:$E$26,1)</f>
        <v/>
      </c>
      <c r="E18" s="36">
        <f>IF(C18=0,"",D18/C18)</f>
        <v/>
      </c>
      <c r="F18" s="35" t="n">
        <v>12</v>
      </c>
      <c r="G18" s="35">
        <f>COUNTIFS('V13 - Configuration'!$F$2:$F$26,"Compliant",'V13 - Configuration'!$E$2:$E$26,2)</f>
        <v/>
      </c>
      <c r="H18" s="36">
        <f>IF(F18=0,"",G18/F18)</f>
        <v/>
      </c>
      <c r="I18" s="35" t="n">
        <v>8</v>
      </c>
      <c r="J18" s="35">
        <f>COUNTIFS('V13 - Configuration'!$F$2:$F$26,"Compliant",'V13 - Configuration'!$E$2:$E$26,3)</f>
        <v/>
      </c>
      <c r="K18" s="36">
        <f>IF(I18=0,"",J18/I18)</f>
        <v/>
      </c>
      <c r="L18" s="35">
        <f>COUNTIF('V13 - Configuration'!$F$2:$F$26,"Compliant")</f>
        <v/>
      </c>
      <c r="M18" s="36">
        <f>IF(B18=0,"",L18/B18)</f>
        <v/>
      </c>
    </row>
    <row r="19" ht="18" customHeight="1" s="28">
      <c r="A19" s="37" t="inlineStr">
        <is>
          <t>V14 – Data Protection</t>
        </is>
      </c>
      <c r="B19" s="38" t="n">
        <v>13</v>
      </c>
      <c r="C19" s="38" t="n">
        <v>2</v>
      </c>
      <c r="D19" s="38">
        <f>COUNTIFS('V14 - Data Protection'!$F$2:$F$17,"Compliant",'V14 - Data Protection'!$E$2:$E$17,1)</f>
        <v/>
      </c>
      <c r="E19" s="39">
        <f>IF(C19=0,"",D19/C19)</f>
        <v/>
      </c>
      <c r="F19" s="38" t="n">
        <v>7</v>
      </c>
      <c r="G19" s="38">
        <f>COUNTIFS('V14 - Data Protection'!$F$2:$F$17,"Compliant",'V14 - Data Protection'!$E$2:$E$17,2)</f>
        <v/>
      </c>
      <c r="H19" s="39">
        <f>IF(F19=0,"",G19/F19)</f>
        <v/>
      </c>
      <c r="I19" s="38" t="n">
        <v>4</v>
      </c>
      <c r="J19" s="38">
        <f>COUNTIFS('V14 - Data Protection'!$F$2:$F$17,"Compliant",'V14 - Data Protection'!$E$2:$E$17,3)</f>
        <v/>
      </c>
      <c r="K19" s="39">
        <f>IF(I19=0,"",J19/I19)</f>
        <v/>
      </c>
      <c r="L19" s="38">
        <f>COUNTIF('V14 - Data Protection'!$F$2:$F$17,"Compliant")</f>
        <v/>
      </c>
      <c r="M19" s="39">
        <f>IF(B19=0,"",L19/B19)</f>
        <v/>
      </c>
    </row>
    <row r="20" ht="18" customHeight="1" s="28">
      <c r="A20" s="34" t="inlineStr">
        <is>
          <t>V15 – Secure Coding and Architecture</t>
        </is>
      </c>
      <c r="B20" s="35" t="n">
        <v>21</v>
      </c>
      <c r="C20" s="35" t="n">
        <v>3</v>
      </c>
      <c r="D20" s="35">
        <f>COUNTIFS('V15 - Secure Coding and Archite'!$F$2:$F$26,"Compliant",'V15 - Secure Coding and Archite'!$E$2:$E$26,1)</f>
        <v/>
      </c>
      <c r="E20" s="36">
        <f>IF(C20=0,"",D20/C20)</f>
        <v/>
      </c>
      <c r="F20" s="35" t="n">
        <v>10</v>
      </c>
      <c r="G20" s="35">
        <f>COUNTIFS('V15 - Secure Coding and Archite'!$F$2:$F$26,"Compliant",'V15 - Secure Coding and Archite'!$E$2:$E$26,2)</f>
        <v/>
      </c>
      <c r="H20" s="36">
        <f>IF(F20=0,"",G20/F20)</f>
        <v/>
      </c>
      <c r="I20" s="35" t="n">
        <v>8</v>
      </c>
      <c r="J20" s="35">
        <f>COUNTIFS('V15 - Secure Coding and Archite'!$F$2:$F$26,"Compliant",'V15 - Secure Coding and Archite'!$E$2:$E$26,3)</f>
        <v/>
      </c>
      <c r="K20" s="36">
        <f>IF(I20=0,"",J20/I20)</f>
        <v/>
      </c>
      <c r="L20" s="35">
        <f>COUNTIF('V15 - Secure Coding and Archite'!$F$2:$F$26,"Compliant")</f>
        <v/>
      </c>
      <c r="M20" s="36">
        <f>IF(B20=0,"",L20/B20)</f>
        <v/>
      </c>
    </row>
    <row r="21" ht="18" customHeight="1" s="28">
      <c r="A21" s="37" t="inlineStr">
        <is>
          <t>V16 – Security Logging and Error Handling</t>
        </is>
      </c>
      <c r="B21" s="38" t="n">
        <v>17</v>
      </c>
      <c r="C21" s="38" t="n">
        <v>0</v>
      </c>
      <c r="D21" s="38" t="inlineStr">
        <is>
          <t>N/A</t>
        </is>
      </c>
      <c r="E21" s="38" t="inlineStr">
        <is>
          <t>N/A</t>
        </is>
      </c>
      <c r="F21" s="38" t="n">
        <v>16</v>
      </c>
      <c r="G21" s="38">
        <f>COUNTIFS('V16 - Security Logging and Erro'!$F$2:$F$23,"Compliant",'V16 - Security Logging and Erro'!$E$2:$E$23,2)</f>
        <v/>
      </c>
      <c r="H21" s="39">
        <f>IF(F21=0,"",G21/F21)</f>
        <v/>
      </c>
      <c r="I21" s="38" t="n">
        <v>1</v>
      </c>
      <c r="J21" s="38">
        <f>COUNTIFS('V16 - Security Logging and Erro'!$F$2:$F$23,"Compliant",'V16 - Security Logging and Erro'!$E$2:$E$23,3)</f>
        <v/>
      </c>
      <c r="K21" s="39">
        <f>IF(I21=0,"",J21/I21)</f>
        <v/>
      </c>
      <c r="L21" s="38">
        <f>COUNTIF('V16 - Security Logging and Erro'!$F$2:$F$23,"Compliant")</f>
        <v/>
      </c>
      <c r="M21" s="39">
        <f>IF(B21=0,"",L21/B21)</f>
        <v/>
      </c>
    </row>
    <row r="22" ht="18" customHeight="1" s="28">
      <c r="A22" s="34" t="inlineStr">
        <is>
          <t>V17 – WebRTC</t>
        </is>
      </c>
      <c r="B22" s="35" t="n">
        <v>12</v>
      </c>
      <c r="C22" s="35" t="n">
        <v>0</v>
      </c>
      <c r="D22" s="35" t="inlineStr">
        <is>
          <t>N/A</t>
        </is>
      </c>
      <c r="E22" s="35" t="inlineStr">
        <is>
          <t>N/A</t>
        </is>
      </c>
      <c r="F22" s="35" t="n">
        <v>7</v>
      </c>
      <c r="G22" s="35">
        <f>COUNTIFS('V17 - WebRTC'!$F$2:$F$16,"Compliant",'V17 - WebRTC'!$E$2:$E$16,2)</f>
        <v/>
      </c>
      <c r="H22" s="36">
        <f>IF(F22=0,"",G22/F22)</f>
        <v/>
      </c>
      <c r="I22" s="35" t="n">
        <v>5</v>
      </c>
      <c r="J22" s="35">
        <f>COUNTIFS('V17 - WebRTC'!$F$2:$F$16,"Compliant",'V17 - WebRTC'!$E$2:$E$16,3)</f>
        <v/>
      </c>
      <c r="K22" s="36">
        <f>IF(I22=0,"",J22/I22)</f>
        <v/>
      </c>
      <c r="L22" s="35">
        <f>COUNTIF('V17 - WebRTC'!$F$2:$F$16,"Compliant")</f>
        <v/>
      </c>
      <c r="M22" s="36">
        <f>IF(B22=0,"",L22/B22)</f>
        <v/>
      </c>
    </row>
    <row r="23" ht="22" customHeight="1" s="28">
      <c r="A23" s="40" t="inlineStr">
        <is>
          <t>TOTAL</t>
        </is>
      </c>
      <c r="B23" s="41">
        <f>SUM(B6:B22)</f>
        <v/>
      </c>
      <c r="C23" s="41">
        <f>SUM(C6:C22)</f>
        <v/>
      </c>
      <c r="D23" s="41">
        <f>SUM(D6:D22)</f>
        <v/>
      </c>
      <c r="E23" s="42">
        <f>IFERROR(AVERAGE(E6:E22),"")</f>
        <v/>
      </c>
      <c r="F23" s="41">
        <f>SUM(F6:F22)</f>
        <v/>
      </c>
      <c r="G23" s="41">
        <f>SUM(G6:G22)</f>
        <v/>
      </c>
      <c r="H23" s="42">
        <f>IFERROR(AVERAGE(H6:H22),"")</f>
        <v/>
      </c>
      <c r="I23" s="41">
        <f>SUM(I6:I22)</f>
        <v/>
      </c>
      <c r="J23" s="41">
        <f>SUM(J6:J22)</f>
        <v/>
      </c>
      <c r="K23" s="42">
        <f>IFERROR(AVERAGE(K6:K22),"")</f>
        <v/>
      </c>
      <c r="L23" s="41">
        <f>SUM(L6:L22)</f>
        <v/>
      </c>
      <c r="M23" s="42">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H36"/>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J8" activeCellId="0" sqref="J8"/>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V1.1</t>
        </is>
      </c>
      <c r="B2" s="44" t="inlineStr">
        <is>
          <t>Encoding and Sanitization Architecture</t>
        </is>
      </c>
      <c r="C2" s="44" t="n"/>
      <c r="D2" s="44" t="n"/>
      <c r="E2" s="44" t="n"/>
      <c r="F2" s="44" t="n"/>
      <c r="G2" s="44" t="n"/>
      <c r="H2" s="44" t="n"/>
    </row>
    <row r="3" ht="30" customHeight="1" s="28">
      <c r="A3" s="45" t="inlineStr">
        <is>
          <t>V1.1</t>
        </is>
      </c>
      <c r="B3" s="45" t="inlineStr">
        <is>
          <t>Encoding and Sanitization Architecture</t>
        </is>
      </c>
      <c r="C3" s="46" t="inlineStr">
        <is>
          <t>V1.1.1</t>
        </is>
      </c>
      <c r="D3" s="47"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48" t="n">
        <v>2</v>
      </c>
      <c r="F3" s="49" t="inlineStr">
        <is>
          <t>Compliant</t>
        </is>
      </c>
      <c r="G3" s="47" t="inlineStr">
        <is>
          <t>Starlette/FastAPI decode the request once; Pydantic v2 schemas validate the parsed canonical values before any processing (schemas.py).</t>
        </is>
      </c>
      <c r="H3" s="47" t="n"/>
    </row>
    <row r="4" ht="30" customHeight="1" s="28">
      <c r="A4" s="50" t="inlineStr">
        <is>
          <t>V1.1</t>
        </is>
      </c>
      <c r="B4" s="50" t="inlineStr">
        <is>
          <t>Encoding and Sanitization Architecture</t>
        </is>
      </c>
      <c r="C4" s="51" t="inlineStr">
        <is>
          <t>V1.1.2</t>
        </is>
      </c>
      <c r="D4" s="52" t="inlineStr">
        <is>
          <t>Verify that the application performs output encoding and escaping either as a final step before being used by the interpreter for which it is intended or by the interpreter itself.</t>
        </is>
      </c>
      <c r="E4" s="48" t="n">
        <v>2</v>
      </c>
      <c r="F4" s="49" t="inlineStr">
        <is>
          <t>Compliant</t>
        </is>
      </c>
      <c r="G4" s="52" t="inlineStr">
        <is>
          <t>Output is JSON serialized by FastAPI as the final step; DB access is parameterized via SQLAlchemy ORM.</t>
        </is>
      </c>
      <c r="H4" s="52" t="n"/>
    </row>
    <row r="5" ht="18" customHeight="1" s="28">
      <c r="A5" s="44" t="inlineStr">
        <is>
          <t>V1.2</t>
        </is>
      </c>
      <c r="B5" s="44" t="inlineStr">
        <is>
          <t>Injection Prevention</t>
        </is>
      </c>
      <c r="C5" s="44" t="n"/>
      <c r="D5" s="44" t="n"/>
      <c r="E5" s="44" t="n"/>
      <c r="F5" s="44" t="n"/>
      <c r="G5" s="44" t="n"/>
      <c r="H5" s="44" t="n"/>
    </row>
    <row r="6" ht="30" customHeight="1" s="28">
      <c r="A6" s="45" t="inlineStr">
        <is>
          <t>V1.2</t>
        </is>
      </c>
      <c r="B6" s="45" t="inlineStr">
        <is>
          <t>Injection Prevention</t>
        </is>
      </c>
      <c r="C6" s="46" t="inlineStr">
        <is>
          <t>V1.2.1</t>
        </is>
      </c>
      <c r="D6" s="47"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53" t="n">
        <v>1</v>
      </c>
      <c r="F6" s="49" t="inlineStr">
        <is>
          <t>Compliant</t>
        </is>
      </c>
      <c r="G6" s="47" t="inlineStr">
        <is>
          <t>API returns JSON only (application/json); FastAPI performs JSON output encoding. No server-side HTML/XML is generated.</t>
        </is>
      </c>
      <c r="H6" s="47" t="n"/>
    </row>
    <row r="7" ht="30" customHeight="1" s="28">
      <c r="A7" s="50" t="inlineStr">
        <is>
          <t>V1.2</t>
        </is>
      </c>
      <c r="B7" s="50" t="inlineStr">
        <is>
          <t>Injection Prevention</t>
        </is>
      </c>
      <c r="C7" s="51" t="inlineStr">
        <is>
          <t>V1.2.2</t>
        </is>
      </c>
      <c r="D7" s="52" t="inlineStr">
        <is>
          <t>Verify that when dynamically building URLs, untrusted data is encoded according to its context (e.g., URL encoding or base64url encoding for query or path parameters). Ensure that only safe URL protocols are permitted (e.g., disallow javascript: or data:).</t>
        </is>
      </c>
      <c r="E7" s="53" t="n">
        <v>1</v>
      </c>
      <c r="F7" s="49" t="inlineStr">
        <is>
          <t>Not Applicable</t>
        </is>
      </c>
      <c r="G7" s="52" t="inlineStr">
        <is>
          <t>Application does not build URLs from untrusted input; the only redirect is nginx HTTP-&gt;HTTPS to a fixed server_name.</t>
        </is>
      </c>
      <c r="H7" s="52" t="n"/>
    </row>
    <row r="8" ht="30" customHeight="1" s="28">
      <c r="A8" s="45" t="inlineStr">
        <is>
          <t>V1.2</t>
        </is>
      </c>
      <c r="B8" s="45" t="inlineStr">
        <is>
          <t>Injection Prevention</t>
        </is>
      </c>
      <c r="C8" s="46" t="inlineStr">
        <is>
          <t>V1.2.3</t>
        </is>
      </c>
      <c r="D8" s="47" t="inlineStr">
        <is>
          <t>Verify that output encoding or escaping is used when dynamically building JavaScript content (including JSON), to avoid changing the message or document structure (to avoid JavaScript and JSON injection).</t>
        </is>
      </c>
      <c r="E8" s="53" t="n">
        <v>1</v>
      </c>
      <c r="F8" s="49" t="inlineStr">
        <is>
          <t>Compliant</t>
        </is>
      </c>
      <c r="G8" s="47" t="inlineStr">
        <is>
          <t>JSON responses are encoded by FastAPI/json; no dynamic JavaScript is generated (headless API).</t>
        </is>
      </c>
      <c r="H8" s="47" t="n"/>
    </row>
    <row r="9" ht="30" customHeight="1" s="28">
      <c r="A9" s="50" t="inlineStr">
        <is>
          <t>V1.2</t>
        </is>
      </c>
      <c r="B9" s="50" t="inlineStr">
        <is>
          <t>Injection Prevention</t>
        </is>
      </c>
      <c r="C9" s="51" t="inlineStr">
        <is>
          <t>V1.2.4</t>
        </is>
      </c>
      <c r="D9" s="52"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53" t="n">
        <v>1</v>
      </c>
      <c r="F9" s="49" t="inlineStr">
        <is>
          <t>Compliant</t>
        </is>
      </c>
      <c r="G9" s="52" t="inlineStr">
        <is>
          <t>SQLAlchemy ORM used exclusively, no raw/string-built SQL (SR-INPUT-07). Verified by Semgrep p/sql-injection in CI.</t>
        </is>
      </c>
      <c r="H9" s="52" t="n"/>
    </row>
    <row r="10" ht="30" customHeight="1" s="28">
      <c r="A10" s="45" t="inlineStr">
        <is>
          <t>V1.2</t>
        </is>
      </c>
      <c r="B10" s="45" t="inlineStr">
        <is>
          <t>Injection Prevention</t>
        </is>
      </c>
      <c r="C10" s="46" t="inlineStr">
        <is>
          <t>V1.2.5</t>
        </is>
      </c>
      <c r="D10" s="47" t="inlineStr">
        <is>
          <t>Verify that the application protects against OS command injection and that operating system calls use parameterized OS queries or use contextual command line output encoding.</t>
        </is>
      </c>
      <c r="E10" s="53" t="n">
        <v>1</v>
      </c>
      <c r="F10" s="49" t="inlineStr">
        <is>
          <t>Compliant</t>
        </is>
      </c>
      <c r="G10" s="47" t="inlineStr">
        <is>
          <t>No OS command execution (no os.system/subprocess/shell). Enforced by Bandit/Semgrep SAST gate.</t>
        </is>
      </c>
      <c r="H10" s="47" t="n"/>
    </row>
    <row r="11" ht="30" customHeight="1" s="28">
      <c r="A11" s="50" t="inlineStr">
        <is>
          <t>V1.2</t>
        </is>
      </c>
      <c r="B11" s="50" t="inlineStr">
        <is>
          <t>Injection Prevention</t>
        </is>
      </c>
      <c r="C11" s="51" t="inlineStr">
        <is>
          <t>V1.2.6</t>
        </is>
      </c>
      <c r="D11" s="52" t="inlineStr">
        <is>
          <t>Verify that the application protects against LDAP injection vulnerabilities, or that specific security controls to prevent LDAP injection have been implemented.</t>
        </is>
      </c>
      <c r="E11" s="48" t="n">
        <v>2</v>
      </c>
      <c r="F11" s="49" t="inlineStr">
        <is>
          <t>Not Applicable</t>
        </is>
      </c>
      <c r="G11" s="52" t="inlineStr">
        <is>
          <t>No LDAP usage.</t>
        </is>
      </c>
      <c r="H11" s="52" t="n"/>
    </row>
    <row r="12" ht="30" customHeight="1" s="28">
      <c r="A12" s="45" t="inlineStr">
        <is>
          <t>V1.2</t>
        </is>
      </c>
      <c r="B12" s="45" t="inlineStr">
        <is>
          <t>Injection Prevention</t>
        </is>
      </c>
      <c r="C12" s="46" t="inlineStr">
        <is>
          <t>V1.2.7</t>
        </is>
      </c>
      <c r="D12" s="47" t="inlineStr">
        <is>
          <t>Verify that the application is protected against XPath injection attacks by using query parameterization or precompiled queries.</t>
        </is>
      </c>
      <c r="E12" s="48" t="n">
        <v>2</v>
      </c>
      <c r="F12" s="49" t="inlineStr">
        <is>
          <t>Not Applicable</t>
        </is>
      </c>
      <c r="G12" s="47" t="inlineStr">
        <is>
          <t>No XPath/XML query usage.</t>
        </is>
      </c>
      <c r="H12" s="47" t="n"/>
    </row>
    <row r="13" ht="30" customHeight="1" s="28">
      <c r="A13" s="50" t="inlineStr">
        <is>
          <t>V1.2</t>
        </is>
      </c>
      <c r="B13" s="50" t="inlineStr">
        <is>
          <t>Injection Prevention</t>
        </is>
      </c>
      <c r="C13" s="51" t="inlineStr">
        <is>
          <t>V1.2.8</t>
        </is>
      </c>
      <c r="D13" s="52" t="inlineStr">
        <is>
          <t>Verify that LaTeX processors are configured securely (such as not using the "--shell-escape" flag) and an allowlist of commands is used to prevent LaTeX injection attacks.</t>
        </is>
      </c>
      <c r="E13" s="48" t="n">
        <v>2</v>
      </c>
      <c r="F13" s="49" t="inlineStr">
        <is>
          <t>Not Applicable</t>
        </is>
      </c>
      <c r="G13" s="52" t="inlineStr">
        <is>
          <t>No LaTeX processing.</t>
        </is>
      </c>
      <c r="H13" s="52" t="n"/>
    </row>
    <row r="14" ht="30" customHeight="1" s="28">
      <c r="A14" s="45" t="inlineStr">
        <is>
          <t>V1.2</t>
        </is>
      </c>
      <c r="B14" s="45" t="inlineStr">
        <is>
          <t>Injection Prevention</t>
        </is>
      </c>
      <c r="C14" s="46" t="inlineStr">
        <is>
          <t>V1.2.9</t>
        </is>
      </c>
      <c r="D14" s="47" t="inlineStr">
        <is>
          <t>Verify that the application escapes special characters in regular expressions (typically using a backslash) to prevent them from being misinterpreted as metacharacters.</t>
        </is>
      </c>
      <c r="E14" s="48" t="n">
        <v>2</v>
      </c>
      <c r="F14" s="49" t="inlineStr">
        <is>
          <t>Not Applicable</t>
        </is>
      </c>
      <c r="G14" s="47" t="inlineStr">
        <is>
          <t>No regular expressions built from untrusted input.</t>
        </is>
      </c>
      <c r="H14" s="47" t="n"/>
    </row>
    <row r="15" ht="30" customHeight="1" s="28">
      <c r="A15" s="50" t="inlineStr">
        <is>
          <t>V1.2</t>
        </is>
      </c>
      <c r="B15" s="50" t="inlineStr">
        <is>
          <t>Injection Prevention</t>
        </is>
      </c>
      <c r="C15" s="51" t="inlineStr">
        <is>
          <t>V1.2.10</t>
        </is>
      </c>
      <c r="D15" s="52"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54" t="n">
        <v>3</v>
      </c>
      <c r="F15" s="49" t="inlineStr">
        <is>
          <t>Not Applicable</t>
        </is>
      </c>
      <c r="G15" s="52" t="inlineStr">
        <is>
          <t>No CSV/spreadsheet export feature; invoices are rendered as PDF (reportlab).</t>
        </is>
      </c>
      <c r="H15" s="52" t="n"/>
    </row>
    <row r="16" ht="18" customHeight="1" s="28">
      <c r="A16" s="44" t="inlineStr">
        <is>
          <t>V1.3</t>
        </is>
      </c>
      <c r="B16" s="44" t="inlineStr">
        <is>
          <t>Sanitization</t>
        </is>
      </c>
      <c r="C16" s="44" t="n"/>
      <c r="D16" s="44" t="n"/>
      <c r="E16" s="44" t="n"/>
      <c r="F16" s="44" t="n"/>
      <c r="G16" s="44" t="n"/>
      <c r="H16" s="44" t="n"/>
    </row>
    <row r="17" ht="30" customHeight="1" s="28">
      <c r="A17" s="45" t="inlineStr">
        <is>
          <t>V1.3</t>
        </is>
      </c>
      <c r="B17" s="45" t="inlineStr">
        <is>
          <t>Sanitization</t>
        </is>
      </c>
      <c r="C17" s="46" t="inlineStr">
        <is>
          <t>V1.3.1</t>
        </is>
      </c>
      <c r="D17" s="47" t="inlineStr">
        <is>
          <t>Verify that all untrusted HTML input from WYSIWYG editors or similar is sanitized using a well-known and secure HTML sanitization library or framework feature.</t>
        </is>
      </c>
      <c r="E17" s="53" t="n">
        <v>1</v>
      </c>
      <c r="F17" s="49" t="inlineStr">
        <is>
          <t>Not Applicable</t>
        </is>
      </c>
      <c r="G17" s="47" t="inlineStr">
        <is>
          <t>No WYSIWYG/HTML input and no HTML rendering; user text (reviews, product fields) is stored and returned as JSON. SR-INPUT-06 (bleach) was designed but is unused; not exploitable without an HTML render context.</t>
        </is>
      </c>
      <c r="H17" s="47" t="n"/>
    </row>
    <row r="18" ht="30" customHeight="1" s="28">
      <c r="A18" s="50" t="inlineStr">
        <is>
          <t>V1.3</t>
        </is>
      </c>
      <c r="B18" s="50" t="inlineStr">
        <is>
          <t>Sanitization</t>
        </is>
      </c>
      <c r="C18" s="51" t="inlineStr">
        <is>
          <t>V1.3.2</t>
        </is>
      </c>
      <c r="D18" s="52" t="inlineStr">
        <is>
          <t>Verify that the application avoids the use of eval() or other dynamic code execution features such as Spring Expression Language (SpEL). Where there is no alternative, any user input being included must be sanitized before being executed.</t>
        </is>
      </c>
      <c r="E18" s="53" t="n">
        <v>1</v>
      </c>
      <c r="F18" s="49" t="inlineStr">
        <is>
          <t>Compliant</t>
        </is>
      </c>
      <c r="G18" s="52" t="inlineStr">
        <is>
          <t>No eval()/exec()/dynamic code execution. Enforced by SAST (Bandit/Semgrep).</t>
        </is>
      </c>
      <c r="H18" s="52" t="n"/>
    </row>
    <row r="19" ht="30" customHeight="1" s="28">
      <c r="A19" s="45" t="inlineStr">
        <is>
          <t>V1.3</t>
        </is>
      </c>
      <c r="B19" s="45" t="inlineStr">
        <is>
          <t>Sanitization</t>
        </is>
      </c>
      <c r="C19" s="46" t="inlineStr">
        <is>
          <t>V1.3.3</t>
        </is>
      </c>
      <c r="D19" s="47" t="inlineStr">
        <is>
          <t>Verify that data being passed to a potentially dangerous context is sanitized beforehand to enforce safety measures, such as only allowing characters which are safe for this context and trimming input which is too long.</t>
        </is>
      </c>
      <c r="E19" s="48" t="n">
        <v>2</v>
      </c>
      <c r="F19" s="49" t="inlineStr">
        <is>
          <t>In Progress</t>
        </is>
      </c>
      <c r="G19" s="47" t="inlineStr">
        <is>
          <t>Pydantic type validation plus some length bounds (review comment max 1000, password max 128); shipping address length/charset not bounded (SR-INPUT-10 not implemented).</t>
        </is>
      </c>
      <c r="H19" s="47" t="n"/>
    </row>
    <row r="20" ht="30" customHeight="1" s="28">
      <c r="A20" s="50" t="inlineStr">
        <is>
          <t>V1.3</t>
        </is>
      </c>
      <c r="B20" s="50" t="inlineStr">
        <is>
          <t>Sanitization</t>
        </is>
      </c>
      <c r="C20" s="51" t="inlineStr">
        <is>
          <t>V1.3.4</t>
        </is>
      </c>
      <c r="D20" s="52" t="inlineStr">
        <is>
          <t>Verify that user-supplied Scalable Vector Graphics (SVG) scriptable content is validated or sanitized to contain only tags and attributes (such as draw graphics) that are safe for the application, e.g., do not contain scripts and foreignObject.</t>
        </is>
      </c>
      <c r="E20" s="48" t="n">
        <v>2</v>
      </c>
      <c r="F20" s="49" t="inlineStr">
        <is>
          <t>Not Applicable</t>
        </is>
      </c>
      <c r="G20" s="52" t="inlineStr">
        <is>
          <t>SVG is not an accepted upload type (allow-list: png/jpeg/gif/webp with magic-byte checks).</t>
        </is>
      </c>
      <c r="H20" s="52" t="n"/>
    </row>
    <row r="21" ht="30" customHeight="1" s="28">
      <c r="A21" s="45" t="inlineStr">
        <is>
          <t>V1.3</t>
        </is>
      </c>
      <c r="B21" s="45" t="inlineStr">
        <is>
          <t>Sanitization</t>
        </is>
      </c>
      <c r="C21" s="46" t="inlineStr">
        <is>
          <t>V1.3.5</t>
        </is>
      </c>
      <c r="D21" s="47" t="inlineStr">
        <is>
          <t>Verify that the application sanitizes or disables user-supplied scriptable or expression template language content, such as Markdown, CSS or XSL stylesheets, BBCode, or similar.</t>
        </is>
      </c>
      <c r="E21" s="48" t="n">
        <v>2</v>
      </c>
      <c r="F21" s="49" t="inlineStr">
        <is>
          <t>Not Applicable</t>
        </is>
      </c>
      <c r="G21" s="47" t="inlineStr">
        <is>
          <t>No Markdown/CSS/XSL/BBCode processing of user content.</t>
        </is>
      </c>
      <c r="H21" s="47" t="n"/>
    </row>
    <row r="22" ht="30" customHeight="1" s="28">
      <c r="A22" s="50" t="inlineStr">
        <is>
          <t>V1.3</t>
        </is>
      </c>
      <c r="B22" s="50" t="inlineStr">
        <is>
          <t>Sanitization</t>
        </is>
      </c>
      <c r="C22" s="51" t="inlineStr">
        <is>
          <t>V1.3.6</t>
        </is>
      </c>
      <c r="D22" s="52"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48" t="n">
        <v>2</v>
      </c>
      <c r="F22" s="49" t="inlineStr">
        <is>
          <t>Compliant</t>
        </is>
      </c>
      <c r="G22" s="52" t="inlineStr">
        <is>
          <t>Only outbound call is to a fixed HIBP endpoint (services/pwned.py); no user-supplied URLs are fetched, so SSRF surface is absent.</t>
        </is>
      </c>
      <c r="H22" s="52" t="n"/>
    </row>
    <row r="23" ht="30" customHeight="1" s="28">
      <c r="A23" s="45" t="inlineStr">
        <is>
          <t>V1.3</t>
        </is>
      </c>
      <c r="B23" s="45" t="inlineStr">
        <is>
          <t>Sanitization</t>
        </is>
      </c>
      <c r="C23" s="46" t="inlineStr">
        <is>
          <t>V1.3.7</t>
        </is>
      </c>
      <c r="D23" s="47"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48" t="n">
        <v>2</v>
      </c>
      <c r="F23" s="49" t="inlineStr">
        <is>
          <t>Compliant</t>
        </is>
      </c>
      <c r="G23" s="47" t="inlineStr">
        <is>
          <t>Invoices are produced with reportlab canvas drawString (no template engine); no template is built from untrusted input (SR-INPUT-05). Verified by SAST-06.</t>
        </is>
      </c>
      <c r="H23" s="47" t="n"/>
    </row>
    <row r="24" ht="30" customHeight="1" s="28">
      <c r="A24" s="50" t="inlineStr">
        <is>
          <t>V1.3</t>
        </is>
      </c>
      <c r="B24" s="50" t="inlineStr">
        <is>
          <t>Sanitization</t>
        </is>
      </c>
      <c r="C24" s="51" t="inlineStr">
        <is>
          <t>V1.3.8</t>
        </is>
      </c>
      <c r="D24" s="52" t="inlineStr">
        <is>
          <t>Verify that the application appropriately sanitizes untrusted input before use in Java Naming and Directory Interface (JNDI) queries and that JNDI is configured securely to prevent JNDI injection attacks.</t>
        </is>
      </c>
      <c r="E24" s="48" t="n">
        <v>2</v>
      </c>
      <c r="F24" s="49" t="inlineStr">
        <is>
          <t>Not Applicable</t>
        </is>
      </c>
      <c r="G24" s="52" t="inlineStr">
        <is>
          <t>Python stack; no JNDI.</t>
        </is>
      </c>
      <c r="H24" s="52" t="n"/>
    </row>
    <row r="25" ht="30" customHeight="1" s="28">
      <c r="A25" s="45" t="inlineStr">
        <is>
          <t>V1.3</t>
        </is>
      </c>
      <c r="B25" s="45" t="inlineStr">
        <is>
          <t>Sanitization</t>
        </is>
      </c>
      <c r="C25" s="46" t="inlineStr">
        <is>
          <t>V1.3.9</t>
        </is>
      </c>
      <c r="D25" s="47" t="inlineStr">
        <is>
          <t>Verify that the application sanitizes content before it is sent to memcache to prevent injection attacks.</t>
        </is>
      </c>
      <c r="E25" s="48" t="n">
        <v>2</v>
      </c>
      <c r="F25" s="49" t="inlineStr">
        <is>
          <t>Not Applicable</t>
        </is>
      </c>
      <c r="G25" s="47" t="inlineStr">
        <is>
          <t>No memcache.</t>
        </is>
      </c>
      <c r="H25" s="47" t="n"/>
    </row>
    <row r="26" ht="30" customHeight="1" s="28">
      <c r="A26" s="50" t="inlineStr">
        <is>
          <t>V1.3</t>
        </is>
      </c>
      <c r="B26" s="50" t="inlineStr">
        <is>
          <t>Sanitization</t>
        </is>
      </c>
      <c r="C26" s="51" t="inlineStr">
        <is>
          <t>V1.3.10</t>
        </is>
      </c>
      <c r="D26" s="52" t="inlineStr">
        <is>
          <t>Verify that format strings which might resolve in an unexpected or malicious way when used are sanitized before being processed.</t>
        </is>
      </c>
      <c r="E26" s="48" t="n">
        <v>2</v>
      </c>
      <c r="F26" s="49" t="inlineStr">
        <is>
          <t>Compliant</t>
        </is>
      </c>
      <c r="G26" s="52" t="inlineStr">
        <is>
          <t>Logging uses parameterized format args (logger.info("...%s", x)); no user-controlled format strings.</t>
        </is>
      </c>
      <c r="H26" s="52" t="n"/>
    </row>
    <row r="27" ht="30" customHeight="1" s="28">
      <c r="A27" s="45" t="inlineStr">
        <is>
          <t>V1.3</t>
        </is>
      </c>
      <c r="B27" s="45" t="inlineStr">
        <is>
          <t>Sanitization</t>
        </is>
      </c>
      <c r="C27" s="46" t="inlineStr">
        <is>
          <t>V1.3.11</t>
        </is>
      </c>
      <c r="D27" s="47" t="inlineStr">
        <is>
          <t>Verify that the application sanitizes user input before passing to mail systems to protect against SMTP or IMAP injection.</t>
        </is>
      </c>
      <c r="E27" s="48" t="n">
        <v>2</v>
      </c>
      <c r="F27" s="49" t="inlineStr">
        <is>
          <t>Not Applicable</t>
        </is>
      </c>
      <c r="G27" s="47" t="inlineStr">
        <is>
          <t>No SMTP/IMAP integration (reset token surfaced in dev response; production email not implemented).</t>
        </is>
      </c>
      <c r="H27" s="47" t="n"/>
    </row>
    <row r="28" ht="30" customHeight="1" s="28">
      <c r="A28" s="50" t="inlineStr">
        <is>
          <t>V1.3</t>
        </is>
      </c>
      <c r="B28" s="50" t="inlineStr">
        <is>
          <t>Sanitization</t>
        </is>
      </c>
      <c r="C28" s="51" t="inlineStr">
        <is>
          <t>V1.3.12</t>
        </is>
      </c>
      <c r="D28" s="52" t="inlineStr">
        <is>
          <t>Verify that regular expressions are free from elements causing exponential backtracking, and ensure untrusted input is sanitized to mitigate ReDoS or Runaway Regex attacks.</t>
        </is>
      </c>
      <c r="E28" s="54" t="n">
        <v>3</v>
      </c>
      <c r="F28" s="49" t="inlineStr">
        <is>
          <t>Not Applicable</t>
        </is>
      </c>
      <c r="G28" s="52" t="inlineStr">
        <is>
          <t>No custom regex applied to untrusted input; Pydantic EmailStr uses a safe validator.</t>
        </is>
      </c>
      <c r="H28" s="52" t="n"/>
    </row>
    <row r="29" ht="18" customHeight="1" s="28">
      <c r="A29" s="44" t="inlineStr">
        <is>
          <t>V1.4</t>
        </is>
      </c>
      <c r="B29" s="44" t="inlineStr">
        <is>
          <t>Memory, String, and Unmanaged Code</t>
        </is>
      </c>
      <c r="C29" s="44" t="n"/>
      <c r="D29" s="44" t="n"/>
      <c r="E29" s="44" t="n"/>
      <c r="F29" s="44" t="n"/>
      <c r="G29" s="44" t="n"/>
      <c r="H29" s="44" t="n"/>
    </row>
    <row r="30" ht="30" customHeight="1" s="28">
      <c r="A30" s="45" t="inlineStr">
        <is>
          <t>V1.4</t>
        </is>
      </c>
      <c r="B30" s="45" t="inlineStr">
        <is>
          <t>Memory, String, and Unmanaged Code</t>
        </is>
      </c>
      <c r="C30" s="46" t="inlineStr">
        <is>
          <t>V1.4.1</t>
        </is>
      </c>
      <c r="D30" s="47" t="inlineStr">
        <is>
          <t>Verify that the application uses memory-safe string, safer memory copy and pointer arithmetic to detect or prevent stack, buffer, or heap overflows.</t>
        </is>
      </c>
      <c r="E30" s="48" t="n">
        <v>2</v>
      </c>
      <c r="F30" s="49" t="inlineStr">
        <is>
          <t>Compliant</t>
        </is>
      </c>
      <c r="G30" s="47" t="inlineStr">
        <is>
          <t>Python is a memory-safe runtime; no manual buffer/pointer handling.</t>
        </is>
      </c>
      <c r="H30" s="47" t="n"/>
    </row>
    <row r="31" ht="30" customHeight="1" s="28">
      <c r="A31" s="50" t="inlineStr">
        <is>
          <t>V1.4</t>
        </is>
      </c>
      <c r="B31" s="50" t="inlineStr">
        <is>
          <t>Memory, String, and Unmanaged Code</t>
        </is>
      </c>
      <c r="C31" s="51" t="inlineStr">
        <is>
          <t>V1.4.2</t>
        </is>
      </c>
      <c r="D31" s="52" t="inlineStr">
        <is>
          <t>Verify that sign, range, and input validation techniques are used to prevent integer overflows.</t>
        </is>
      </c>
      <c r="E31" s="48" t="n">
        <v>2</v>
      </c>
      <c r="F31" s="49" t="inlineStr">
        <is>
          <t>Compliant</t>
        </is>
      </c>
      <c r="G31" s="52" t="inlineStr">
        <is>
          <t>Python integers are arbitrary precision; Pydantic enforces int typing.</t>
        </is>
      </c>
      <c r="H31" s="52" t="n"/>
    </row>
    <row r="32" ht="30" customHeight="1" s="28">
      <c r="A32" s="45" t="inlineStr">
        <is>
          <t>V1.4</t>
        </is>
      </c>
      <c r="B32" s="45" t="inlineStr">
        <is>
          <t>Memory, String, and Unmanaged Code</t>
        </is>
      </c>
      <c r="C32" s="46" t="inlineStr">
        <is>
          <t>V1.4.3</t>
        </is>
      </c>
      <c r="D32" s="47" t="inlineStr">
        <is>
          <t>Verify that dynamically allocated memory and resources are released, and that references or pointers to freed memory are removed or set to null to prevent dangling pointers and use-after-free vulnerabilities.</t>
        </is>
      </c>
      <c r="E32" s="48" t="n">
        <v>2</v>
      </c>
      <c r="F32" s="49" t="inlineStr">
        <is>
          <t>Compliant</t>
        </is>
      </c>
      <c r="G32" s="47" t="inlineStr">
        <is>
          <t>Managed runtime with garbage collection; no manual memory management.</t>
        </is>
      </c>
      <c r="H32" s="47" t="n"/>
    </row>
    <row r="33" ht="18" customHeight="1" s="28">
      <c r="A33" s="44" t="inlineStr">
        <is>
          <t>V1.5</t>
        </is>
      </c>
      <c r="B33" s="44" t="inlineStr">
        <is>
          <t>Safe Deserialization</t>
        </is>
      </c>
      <c r="C33" s="44" t="n"/>
      <c r="D33" s="44" t="n"/>
      <c r="E33" s="44" t="n"/>
      <c r="F33" s="44" t="n"/>
      <c r="G33" s="44" t="n"/>
      <c r="H33" s="44" t="n"/>
    </row>
    <row r="34" ht="30" customHeight="1" s="28">
      <c r="A34" s="45" t="inlineStr">
        <is>
          <t>V1.5</t>
        </is>
      </c>
      <c r="B34" s="45" t="inlineStr">
        <is>
          <t>Safe Deserialization</t>
        </is>
      </c>
      <c r="C34" s="46" t="inlineStr">
        <is>
          <t>V1.5.1</t>
        </is>
      </c>
      <c r="D34" s="47" t="inlineStr">
        <is>
          <t>Verify that the application configures XML parsers to use a restrictive configuration and that unsafe features such as resolving external entities are disabled to prevent XML eXternal Entity (XXE) attacks.</t>
        </is>
      </c>
      <c r="E34" s="53" t="n">
        <v>1</v>
      </c>
      <c r="F34" s="49" t="inlineStr">
        <is>
          <t>Not Applicable</t>
        </is>
      </c>
      <c r="G34" s="47" t="inlineStr">
        <is>
          <t>No XML parsing in the application.</t>
        </is>
      </c>
      <c r="H34" s="47" t="n"/>
    </row>
    <row r="35" ht="30" customHeight="1" s="28">
      <c r="A35" s="50" t="inlineStr">
        <is>
          <t>V1.5</t>
        </is>
      </c>
      <c r="B35" s="50" t="inlineStr">
        <is>
          <t>Safe Deserialization</t>
        </is>
      </c>
      <c r="C35" s="51" t="inlineStr">
        <is>
          <t>V1.5.2</t>
        </is>
      </c>
      <c r="D35" s="52"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48" t="n">
        <v>2</v>
      </c>
      <c r="F35" s="49" t="inlineStr">
        <is>
          <t>Compliant</t>
        </is>
      </c>
      <c r="G35" s="52" t="inlineStr">
        <is>
          <t>Only JSON is deserialized via Pydantic; no pickle/yaml.load of untrusted data.</t>
        </is>
      </c>
      <c r="H35" s="52" t="n"/>
    </row>
    <row r="36" ht="30" customHeight="1" s="28">
      <c r="A36" s="45" t="inlineStr">
        <is>
          <t>V1.5</t>
        </is>
      </c>
      <c r="B36" s="45" t="inlineStr">
        <is>
          <t>Safe Deserialization</t>
        </is>
      </c>
      <c r="C36" s="46" t="inlineStr">
        <is>
          <t>V1.5.3</t>
        </is>
      </c>
      <c r="D36" s="47"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54" t="n">
        <v>3</v>
      </c>
      <c r="F36" s="49" t="inlineStr">
        <is>
          <t>Compliant</t>
        </is>
      </c>
      <c r="G36" s="47" t="inlineStr">
        <is>
          <t>A single canonical JSON parser (FastAPI/Pydantic) is used for request bodies.</t>
        </is>
      </c>
      <c r="H36" s="47" t="n"/>
    </row>
  </sheetData>
  <conditionalFormatting sqref="F2:F36">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36"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18"/>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F3" activeCellId="0" sqref="F3"/>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V2.1</t>
        </is>
      </c>
      <c r="B2" s="44" t="inlineStr">
        <is>
          <t>Validation and Business Logic Documentation</t>
        </is>
      </c>
      <c r="C2" s="44" t="n"/>
      <c r="D2" s="44" t="n"/>
      <c r="E2" s="44" t="n"/>
      <c r="F2" s="44" t="n"/>
      <c r="G2" s="44" t="n"/>
      <c r="H2" s="44" t="n"/>
    </row>
    <row r="3" ht="30" customHeight="1" s="28">
      <c r="A3" s="45" t="inlineStr">
        <is>
          <t>V2.1</t>
        </is>
      </c>
      <c r="B3" s="45" t="inlineStr">
        <is>
          <t>Validation and Business Logic Documentation</t>
        </is>
      </c>
      <c r="C3" s="46" t="inlineStr">
        <is>
          <t>V2.1.1</t>
        </is>
      </c>
      <c r="D3" s="47"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53" t="n">
        <v>1</v>
      </c>
      <c r="F3" s="49" t="inlineStr">
        <is>
          <t>Compliant</t>
        </is>
      </c>
      <c r="G3" s="47" t="inlineStr">
        <is>
          <t>Input validation rules are documented in the Phase 1 report (NFR-07, SR-INPUT) and implemented as Pydantic schemas (schemas.py).</t>
        </is>
      </c>
      <c r="H3" s="47" t="n"/>
    </row>
    <row r="4" ht="30" customHeight="1" s="28">
      <c r="A4" s="50" t="inlineStr">
        <is>
          <t>V2.1</t>
        </is>
      </c>
      <c r="B4" s="50" t="inlineStr">
        <is>
          <t>Validation and Business Logic Documentation</t>
        </is>
      </c>
      <c r="C4" s="51" t="inlineStr">
        <is>
          <t>V2.1.2</t>
        </is>
      </c>
      <c r="D4" s="52" t="inlineStr">
        <is>
          <t>Verify that the application's documentation defines how to validate the logical and contextual consistency of combined data items, such as checking that suburb and ZIP code match.</t>
        </is>
      </c>
      <c r="E4" s="48" t="n">
        <v>2</v>
      </c>
      <c r="F4" s="49" t="inlineStr">
        <is>
          <t>In Progress</t>
        </is>
      </c>
      <c r="G4" s="52" t="inlineStr">
        <is>
          <t>Some combined-data checks exist (e.g. all order items must share one seller); contextual consistency is not comprehensively documented.</t>
        </is>
      </c>
      <c r="H4" s="52" t="n"/>
    </row>
    <row r="5" ht="30" customHeight="1" s="28">
      <c r="A5" s="45" t="inlineStr">
        <is>
          <t>V2.1</t>
        </is>
      </c>
      <c r="B5" s="45" t="inlineStr">
        <is>
          <t>Validation and Business Logic Documentation</t>
        </is>
      </c>
      <c r="C5" s="46" t="inlineStr">
        <is>
          <t>V2.1.3</t>
        </is>
      </c>
      <c r="D5" s="47" t="inlineStr">
        <is>
          <t>Verify that expectations for business logic limits and validations are documented, including both per-user and globally across the application.</t>
        </is>
      </c>
      <c r="E5" s="48" t="n">
        <v>2</v>
      </c>
      <c r="F5" s="49" t="inlineStr">
        <is>
          <t>In Progress</t>
        </is>
      </c>
      <c r="G5" s="47" t="inlineStr">
        <is>
          <t>Some business limits documented/implemented (max 10 images/product, 200MB/seller quota, lockout); not a complete documented set.</t>
        </is>
      </c>
      <c r="H5" s="47" t="n"/>
    </row>
    <row r="6" ht="18" customHeight="1" s="28">
      <c r="A6" s="44" t="inlineStr">
        <is>
          <t>V2.2</t>
        </is>
      </c>
      <c r="B6" s="44" t="inlineStr">
        <is>
          <t>Input Validation</t>
        </is>
      </c>
      <c r="C6" s="44" t="n"/>
      <c r="D6" s="44" t="n"/>
      <c r="E6" s="44" t="n"/>
      <c r="F6" s="44" t="n"/>
      <c r="G6" s="44" t="n"/>
      <c r="H6" s="44" t="n"/>
    </row>
    <row r="7" ht="30" customHeight="1" s="28">
      <c r="A7" s="45" t="inlineStr">
        <is>
          <t>V2.2</t>
        </is>
      </c>
      <c r="B7" s="45" t="inlineStr">
        <is>
          <t>Input Validation</t>
        </is>
      </c>
      <c r="C7" s="46" t="inlineStr">
        <is>
          <t>V2.2.1</t>
        </is>
      </c>
      <c r="D7" s="47"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53" t="n">
        <v>1</v>
      </c>
      <c r="F7" s="49" t="inlineStr">
        <is>
          <t>Compliant</t>
        </is>
      </c>
      <c r="G7" s="47" t="inlineStr">
        <is>
          <t>Positive validation via Pydantic + field validators (price&gt;0, stock&gt;=0, rating 1-5, quantity&gt;0).</t>
        </is>
      </c>
      <c r="H7" s="47" t="n"/>
    </row>
    <row r="8" ht="30" customHeight="1" s="28">
      <c r="A8" s="50" t="inlineStr">
        <is>
          <t>V2.2</t>
        </is>
      </c>
      <c r="B8" s="50" t="inlineStr">
        <is>
          <t>Input Validation</t>
        </is>
      </c>
      <c r="C8" s="51" t="inlineStr">
        <is>
          <t>V2.2.2</t>
        </is>
      </c>
      <c r="D8" s="52" t="inlineStr">
        <is>
          <t>Verify that the application is designed to enforce input validation at a trusted service layer. While client-side validation improves usability and should be encouraged, it must not be relied upon as a security control.</t>
        </is>
      </c>
      <c r="E8" s="53" t="n">
        <v>1</v>
      </c>
      <c r="F8" s="49" t="inlineStr">
        <is>
          <t>Compliant</t>
        </is>
      </c>
      <c r="G8" s="52" t="inlineStr">
        <is>
          <t>All validation runs server-side (Pydantic at the API layer plus service-layer checks).</t>
        </is>
      </c>
      <c r="H8" s="52" t="n"/>
    </row>
    <row r="9" ht="30" customHeight="1" s="28">
      <c r="A9" s="45" t="inlineStr">
        <is>
          <t>V2.2</t>
        </is>
      </c>
      <c r="B9" s="45" t="inlineStr">
        <is>
          <t>Input Validation</t>
        </is>
      </c>
      <c r="C9" s="46" t="inlineStr">
        <is>
          <t>V2.2.3</t>
        </is>
      </c>
      <c r="D9" s="47" t="inlineStr">
        <is>
          <t>Verify that the application ensures that combinations of related data items are reasonable according to the pre-defined rules.</t>
        </is>
      </c>
      <c r="E9" s="48" t="n">
        <v>2</v>
      </c>
      <c r="F9" s="49" t="inlineStr">
        <is>
          <t>Compliant</t>
        </is>
      </c>
      <c r="G9" s="47" t="inlineStr">
        <is>
          <t>Related-item consistency enforced (same-seller order, stock availability) before persistence.</t>
        </is>
      </c>
      <c r="H9" s="47" t="n"/>
    </row>
    <row r="10" ht="18" customHeight="1" s="28">
      <c r="A10" s="44" t="inlineStr">
        <is>
          <t>V2.3</t>
        </is>
      </c>
      <c r="B10" s="44" t="inlineStr">
        <is>
          <t>Business Logic Security</t>
        </is>
      </c>
      <c r="C10" s="44" t="n"/>
      <c r="D10" s="44" t="n"/>
      <c r="E10" s="44" t="n"/>
      <c r="F10" s="44" t="n"/>
      <c r="G10" s="44" t="n"/>
      <c r="H10" s="44" t="n"/>
    </row>
    <row r="11" ht="30" customHeight="1" s="28">
      <c r="A11" s="45" t="inlineStr">
        <is>
          <t>V2.3</t>
        </is>
      </c>
      <c r="B11" s="45" t="inlineStr">
        <is>
          <t>Business Logic Security</t>
        </is>
      </c>
      <c r="C11" s="46" t="inlineStr">
        <is>
          <t>V2.3.1</t>
        </is>
      </c>
      <c r="D11" s="47" t="inlineStr">
        <is>
          <t>Verify that the application will only process business logic flows for the same user in the expected sequential step order and without skipping steps.</t>
        </is>
      </c>
      <c r="E11" s="53" t="n">
        <v>1</v>
      </c>
      <c r="F11" s="49" t="inlineStr">
        <is>
          <t>Compliant</t>
        </is>
      </c>
      <c r="G11" s="47" t="inlineStr">
        <is>
          <t>Order lifecycle enforced by a state machine (_is_valid_status_transition in routers/orders.py).</t>
        </is>
      </c>
      <c r="H11" s="47" t="n"/>
    </row>
    <row r="12" ht="30" customHeight="1" s="28">
      <c r="A12" s="50" t="inlineStr">
        <is>
          <t>V2.3</t>
        </is>
      </c>
      <c r="B12" s="50" t="inlineStr">
        <is>
          <t>Business Logic Security</t>
        </is>
      </c>
      <c r="C12" s="51" t="inlineStr">
        <is>
          <t>V2.3.2</t>
        </is>
      </c>
      <c r="D12" s="52" t="inlineStr">
        <is>
          <t>Verify that business logic limits are implemented per the application's documentation to avoid business logic flaws being exploited.</t>
        </is>
      </c>
      <c r="E12" s="48" t="n">
        <v>2</v>
      </c>
      <c r="F12" s="49" t="inlineStr">
        <is>
          <t>Compliant</t>
        </is>
      </c>
      <c r="G12" s="52" t="inlineStr">
        <is>
          <t>Business limits enforced: stock checks, image quota/count, review-requires-delivered-purchase.</t>
        </is>
      </c>
      <c r="H12" s="52" t="n"/>
    </row>
    <row r="13" ht="30" customHeight="1" s="28">
      <c r="A13" s="45" t="inlineStr">
        <is>
          <t>V2.3</t>
        </is>
      </c>
      <c r="B13" s="45" t="inlineStr">
        <is>
          <t>Business Logic Security</t>
        </is>
      </c>
      <c r="C13" s="46" t="inlineStr">
        <is>
          <t>V2.3.3</t>
        </is>
      </c>
      <c r="D13" s="47" t="inlineStr">
        <is>
          <t>Verify that transactions are being used at the business logic level such that either a business logic operation succeeds in its entirety or it is rolled back to the previous correct state.</t>
        </is>
      </c>
      <c r="E13" s="48" t="n">
        <v>2</v>
      </c>
      <c r="F13" s="49" t="inlineStr">
        <is>
          <t>Compliant</t>
        </is>
      </c>
      <c r="G13" s="47" t="inlineStr">
        <is>
          <t>Each use case runs in a single SQLAlchemy transaction (commit/rollback), e.g. order creation.</t>
        </is>
      </c>
      <c r="H13" s="47" t="n"/>
    </row>
    <row r="14" ht="30" customHeight="1" s="28">
      <c r="A14" s="50" t="inlineStr">
        <is>
          <t>V2.3</t>
        </is>
      </c>
      <c r="B14" s="50" t="inlineStr">
        <is>
          <t>Business Logic Security</t>
        </is>
      </c>
      <c r="C14" s="51" t="inlineStr">
        <is>
          <t>V2.3.4</t>
        </is>
      </c>
      <c r="D14" s="52" t="inlineStr">
        <is>
          <t>Verify that business logic level locking mechanisms are used to ensure that limited quantity resources (such as theater seats or delivery slots) cannot be double-booked by manipulating the application's logic.</t>
        </is>
      </c>
      <c r="E14" s="48" t="n">
        <v>2</v>
      </c>
      <c r="F14" s="49" t="inlineStr">
        <is>
          <t>In Progress</t>
        </is>
      </c>
      <c r="G14" s="52" t="inlineStr">
        <is>
          <t>Stock is decremented inside a transaction but without SELECT ... FOR UPDATE row locking (SR-DATA-10 designed, not implemented); concurrent orders can race. Acknowledged in test_business.py.</t>
        </is>
      </c>
      <c r="H14" s="52" t="n"/>
    </row>
    <row r="15" ht="30" customHeight="1" s="28">
      <c r="A15" s="45" t="inlineStr">
        <is>
          <t>V2.3</t>
        </is>
      </c>
      <c r="B15" s="45" t="inlineStr">
        <is>
          <t>Business Logic Security</t>
        </is>
      </c>
      <c r="C15" s="46" t="inlineStr">
        <is>
          <t>V2.3.5</t>
        </is>
      </c>
      <c r="D15" s="47"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54" t="n">
        <v>3</v>
      </c>
      <c r="F15" s="49" t="inlineStr">
        <is>
          <t>Not Applicable</t>
        </is>
      </c>
      <c r="G15" s="47" t="inlineStr">
        <is>
          <t>No high-value flow requires multi-user approval in scope (admin actions are single-actor).</t>
        </is>
      </c>
      <c r="H15" s="47" t="n"/>
    </row>
    <row r="16" ht="18" customHeight="1" s="28">
      <c r="A16" s="44" t="inlineStr">
        <is>
          <t>V2.4</t>
        </is>
      </c>
      <c r="B16" s="44" t="inlineStr">
        <is>
          <t>Anti-automation</t>
        </is>
      </c>
      <c r="C16" s="44" t="n"/>
      <c r="D16" s="44" t="n"/>
      <c r="E16" s="44" t="n"/>
      <c r="F16" s="44" t="n"/>
      <c r="G16" s="44" t="n"/>
      <c r="H16" s="44" t="n"/>
    </row>
    <row r="17" ht="30" customHeight="1" s="28">
      <c r="A17" s="45" t="inlineStr">
        <is>
          <t>V2.4</t>
        </is>
      </c>
      <c r="B17" s="45" t="inlineStr">
        <is>
          <t>Anti-automation</t>
        </is>
      </c>
      <c r="C17" s="46" t="inlineStr">
        <is>
          <t>V2.4.1</t>
        </is>
      </c>
      <c r="D17" s="47"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48" t="n">
        <v>2</v>
      </c>
      <c r="F17" s="49" t="inlineStr">
        <is>
          <t>In Progress</t>
        </is>
      </c>
      <c r="G17" s="47" t="inlineStr">
        <is>
          <t>Account lockout (5 attempts / 30 min) is implemented; general per-IP/per-endpoint rate limiting (SR-AUTH-09, NFR-04) is documented but the middleware is not implemented (test skipped).</t>
        </is>
      </c>
      <c r="H17" s="47" t="n"/>
    </row>
    <row r="18" ht="30" customHeight="1" s="28">
      <c r="A18" s="50" t="inlineStr">
        <is>
          <t>V2.4</t>
        </is>
      </c>
      <c r="B18" s="50" t="inlineStr">
        <is>
          <t>Anti-automation</t>
        </is>
      </c>
      <c r="C18" s="51" t="inlineStr">
        <is>
          <t>V2.4.2</t>
        </is>
      </c>
      <c r="D18" s="52" t="inlineStr">
        <is>
          <t>Verify that business logic flows require realistic human timing, preventing excessively rapid transaction submissions.</t>
        </is>
      </c>
      <c r="E18" s="54" t="n">
        <v>3</v>
      </c>
      <c r="F18" s="49" t="inlineStr">
        <is>
          <t>Not Started</t>
        </is>
      </c>
      <c r="G18" s="52" t="inlineStr">
        <is>
          <t>No human-timing/anti-automation pacing controls implemented.</t>
        </is>
      </c>
      <c r="H18" s="52" t="n"/>
    </row>
  </sheetData>
  <conditionalFormatting sqref="F2:F18">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18"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39"/>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V3.1</t>
        </is>
      </c>
      <c r="B2" s="44" t="inlineStr">
        <is>
          <t>Web Frontend Security Documentation</t>
        </is>
      </c>
      <c r="C2" s="44" t="n"/>
      <c r="D2" s="44" t="n"/>
      <c r="E2" s="44" t="n"/>
      <c r="F2" s="44" t="n"/>
      <c r="G2" s="44" t="n"/>
      <c r="H2" s="44" t="n"/>
    </row>
    <row r="3" ht="30" customHeight="1" s="28">
      <c r="A3" s="45" t="inlineStr">
        <is>
          <t>V3.1</t>
        </is>
      </c>
      <c r="B3" s="45" t="inlineStr">
        <is>
          <t>Web Frontend Security Documentation</t>
        </is>
      </c>
      <c r="C3" s="46" t="inlineStr">
        <is>
          <t>V3.1.1</t>
        </is>
      </c>
      <c r="D3" s="47"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54" t="n">
        <v>3</v>
      </c>
      <c r="F3" s="49" t="inlineStr">
        <is>
          <t>Not Applicable</t>
        </is>
      </c>
      <c r="G3" s="47" t="inlineStr">
        <is>
          <t>Headless JSON API; no browser client is shipped. Proxy security headers (HSTS/CSP) are documented in the report.</t>
        </is>
      </c>
      <c r="H3" s="47" t="n"/>
    </row>
    <row r="4" ht="18" customHeight="1" s="28">
      <c r="A4" s="44" t="inlineStr">
        <is>
          <t>V3.2</t>
        </is>
      </c>
      <c r="B4" s="44" t="inlineStr">
        <is>
          <t>Unintended Content Interpretation</t>
        </is>
      </c>
      <c r="C4" s="44" t="n"/>
      <c r="D4" s="44" t="n"/>
      <c r="E4" s="44" t="n"/>
      <c r="F4" s="44" t="n"/>
      <c r="G4" s="44" t="n"/>
      <c r="H4" s="44" t="n"/>
    </row>
    <row r="5" ht="30" customHeight="1" s="28">
      <c r="A5" s="45" t="inlineStr">
        <is>
          <t>V3.2</t>
        </is>
      </c>
      <c r="B5" s="45" t="inlineStr">
        <is>
          <t>Unintended Content Interpretation</t>
        </is>
      </c>
      <c r="C5" s="46" t="inlineStr">
        <is>
          <t>V3.2.1</t>
        </is>
      </c>
      <c r="D5" s="47"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53" t="n">
        <v>1</v>
      </c>
      <c r="F5" s="49" t="inlineStr">
        <is>
          <t>Compliant</t>
        </is>
      </c>
      <c r="G5" s="47" t="inlineStr">
        <is>
          <t>nginx sets X-Content-Type-Options: nosniff and CSP default-src 'none'; invoice downloads use Content-Disposition: attachment (routers/orders.py).</t>
        </is>
      </c>
      <c r="H5" s="47" t="n"/>
    </row>
    <row r="6" ht="30" customHeight="1" s="28">
      <c r="A6" s="50" t="inlineStr">
        <is>
          <t>V3.2</t>
        </is>
      </c>
      <c r="B6" s="50" t="inlineStr">
        <is>
          <t>Unintended Content Interpretation</t>
        </is>
      </c>
      <c r="C6" s="51" t="inlineStr">
        <is>
          <t>V3.2.2</t>
        </is>
      </c>
      <c r="D6" s="52" t="inlineStr">
        <is>
          <t>Verify that content intended to be displayed as text, rather than rendered as HTML, is handled using safe rendering functions (such as createTextNode or textContent) to prevent unintended execution of content such as HTML or JavaScript.</t>
        </is>
      </c>
      <c r="E6" s="53" t="n">
        <v>1</v>
      </c>
      <c r="F6" s="49" t="inlineStr">
        <is>
          <t>Not Applicable</t>
        </is>
      </c>
      <c r="G6" s="52" t="inlineStr">
        <is>
          <t>No client-side rendering (no HTML/DOM output).</t>
        </is>
      </c>
      <c r="H6" s="52" t="n"/>
    </row>
    <row r="7" ht="30" customHeight="1" s="28">
      <c r="A7" s="45" t="inlineStr">
        <is>
          <t>V3.2</t>
        </is>
      </c>
      <c r="B7" s="45" t="inlineStr">
        <is>
          <t>Unintended Content Interpretation</t>
        </is>
      </c>
      <c r="C7" s="46" t="inlineStr">
        <is>
          <t>V3.2.3</t>
        </is>
      </c>
      <c r="D7" s="47"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54" t="n">
        <v>3</v>
      </c>
      <c r="F7" s="49" t="inlineStr">
        <is>
          <t>Not Applicable</t>
        </is>
      </c>
      <c r="G7" s="47" t="inlineStr">
        <is>
          <t>No client-side JavaScript.</t>
        </is>
      </c>
      <c r="H7" s="47" t="n"/>
    </row>
    <row r="8" ht="18" customHeight="1" s="28">
      <c r="A8" s="44" t="inlineStr">
        <is>
          <t>V3.3</t>
        </is>
      </c>
      <c r="B8" s="44" t="inlineStr">
        <is>
          <t>Cookie Setup</t>
        </is>
      </c>
      <c r="C8" s="44" t="n"/>
      <c r="D8" s="44" t="n"/>
      <c r="E8" s="44" t="n"/>
      <c r="F8" s="44" t="n"/>
      <c r="G8" s="44" t="n"/>
      <c r="H8" s="44" t="n"/>
    </row>
    <row r="9" ht="30" customHeight="1" s="28">
      <c r="A9" s="45" t="inlineStr">
        <is>
          <t>V3.3</t>
        </is>
      </c>
      <c r="B9" s="45" t="inlineStr">
        <is>
          <t>Cookie Setup</t>
        </is>
      </c>
      <c r="C9" s="46" t="inlineStr">
        <is>
          <t>V3.3.1</t>
        </is>
      </c>
      <c r="D9" s="47" t="inlineStr">
        <is>
          <t>Verify that cookies have the 'Secure' attribute set, and if the '\__Host-' prefix is not used for the cookie name, the '__Secure-' prefix must be used for the cookie name.</t>
        </is>
      </c>
      <c r="E9" s="53" t="n">
        <v>1</v>
      </c>
      <c r="F9" s="49" t="inlineStr">
        <is>
          <t>Not Applicable</t>
        </is>
      </c>
      <c r="G9" s="47" t="inlineStr">
        <is>
          <t>No cookies used; auth is a bearer JWT in the Authorization header.</t>
        </is>
      </c>
      <c r="H9" s="47" t="n"/>
    </row>
    <row r="10" ht="30" customHeight="1" s="28">
      <c r="A10" s="50" t="inlineStr">
        <is>
          <t>V3.3</t>
        </is>
      </c>
      <c r="B10" s="50" t="inlineStr">
        <is>
          <t>Cookie Setup</t>
        </is>
      </c>
      <c r="C10" s="51" t="inlineStr">
        <is>
          <t>V3.3.2</t>
        </is>
      </c>
      <c r="D10" s="52" t="inlineStr">
        <is>
          <t>Verify that each cookie's 'SameSite' attribute value is set according to the purpose of the cookie, to limit exposure to user interface redress attacks and browser-based request forgery attacks, commonly known as cross-site request forgery (CSRF).</t>
        </is>
      </c>
      <c r="E10" s="48" t="n">
        <v>2</v>
      </c>
      <c r="F10" s="49" t="inlineStr">
        <is>
          <t>Not Applicable</t>
        </is>
      </c>
      <c r="G10" s="52" t="inlineStr">
        <is>
          <t>No cookies used.</t>
        </is>
      </c>
      <c r="H10" s="52" t="n"/>
    </row>
    <row r="11" ht="30" customHeight="1" s="28">
      <c r="A11" s="45" t="inlineStr">
        <is>
          <t>V3.3</t>
        </is>
      </c>
      <c r="B11" s="45" t="inlineStr">
        <is>
          <t>Cookie Setup</t>
        </is>
      </c>
      <c r="C11" s="46" t="inlineStr">
        <is>
          <t>V3.3.3</t>
        </is>
      </c>
      <c r="D11" s="47" t="inlineStr">
        <is>
          <t>Verify that cookies have the '__Host-' prefix for the cookie name unless they are explicitly designed to be shared with other hosts.</t>
        </is>
      </c>
      <c r="E11" s="48" t="n">
        <v>2</v>
      </c>
      <c r="F11" s="49" t="inlineStr">
        <is>
          <t>Not Applicable</t>
        </is>
      </c>
      <c r="G11" s="47" t="inlineStr">
        <is>
          <t>No cookies used.</t>
        </is>
      </c>
      <c r="H11" s="47" t="n"/>
    </row>
    <row r="12" ht="30" customHeight="1" s="28">
      <c r="A12" s="50" t="inlineStr">
        <is>
          <t>V3.3</t>
        </is>
      </c>
      <c r="B12" s="50" t="inlineStr">
        <is>
          <t>Cookie Setup</t>
        </is>
      </c>
      <c r="C12" s="51" t="inlineStr">
        <is>
          <t>V3.3.4</t>
        </is>
      </c>
      <c r="D12" s="52"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48" t="n">
        <v>2</v>
      </c>
      <c r="F12" s="49" t="inlineStr">
        <is>
          <t>Not Applicable</t>
        </is>
      </c>
      <c r="G12" s="52" t="inlineStr">
        <is>
          <t>No cookies used; tokens are returned in the JSON body, not Set-Cookie.</t>
        </is>
      </c>
      <c r="H12" s="52" t="n"/>
    </row>
    <row r="13" ht="30" customHeight="1" s="28">
      <c r="A13" s="45" t="inlineStr">
        <is>
          <t>V3.3</t>
        </is>
      </c>
      <c r="B13" s="45" t="inlineStr">
        <is>
          <t>Cookie Setup</t>
        </is>
      </c>
      <c r="C13" s="46" t="inlineStr">
        <is>
          <t>V3.3.5</t>
        </is>
      </c>
      <c r="D13" s="47"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54" t="n">
        <v>3</v>
      </c>
      <c r="F13" s="49" t="inlineStr">
        <is>
          <t>Not Applicable</t>
        </is>
      </c>
      <c r="G13" s="47" t="inlineStr">
        <is>
          <t>No cookies used.</t>
        </is>
      </c>
      <c r="H13" s="47" t="n"/>
    </row>
    <row r="14" ht="18" customHeight="1" s="28">
      <c r="A14" s="44" t="inlineStr">
        <is>
          <t>V3.4</t>
        </is>
      </c>
      <c r="B14" s="44" t="inlineStr">
        <is>
          <t>Browser Security Mechanism Headers</t>
        </is>
      </c>
      <c r="C14" s="44" t="n"/>
      <c r="D14" s="44" t="n"/>
      <c r="E14" s="44" t="n"/>
      <c r="F14" s="44" t="n"/>
      <c r="G14" s="44" t="n"/>
      <c r="H14" s="44" t="n"/>
    </row>
    <row r="15" ht="30" customHeight="1" s="28">
      <c r="A15" s="45" t="inlineStr">
        <is>
          <t>V3.4</t>
        </is>
      </c>
      <c r="B15" s="45" t="inlineStr">
        <is>
          <t>Browser Security Mechanism Headers</t>
        </is>
      </c>
      <c r="C15" s="46" t="inlineStr">
        <is>
          <t>V3.4.1</t>
        </is>
      </c>
      <c r="D15" s="47"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53" t="n">
        <v>1</v>
      </c>
      <c r="F15" s="49" t="inlineStr">
        <is>
          <t>Compliant</t>
        </is>
      </c>
      <c r="G15" s="47" t="inlineStr">
        <is>
          <t>nginx sets Strict-Transport-Security max-age=63072000; includeSubDomains; preload on all responses (SR-COMM-02).</t>
        </is>
      </c>
      <c r="H15" s="47" t="n"/>
    </row>
    <row r="16" ht="30" customHeight="1" s="28">
      <c r="A16" s="50" t="inlineStr">
        <is>
          <t>V3.4</t>
        </is>
      </c>
      <c r="B16" s="50" t="inlineStr">
        <is>
          <t>Browser Security Mechanism Headers</t>
        </is>
      </c>
      <c r="C16" s="51" t="inlineStr">
        <is>
          <t>V3.4.2</t>
        </is>
      </c>
      <c r="D16" s="52"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53" t="n">
        <v>1</v>
      </c>
      <c r="F16" s="49" t="inlineStr">
        <is>
          <t>Compliant</t>
        </is>
      </c>
      <c r="G16" s="52" t="inlineStr">
        <is>
          <t>CORS uses an explicit origin allow-list from settings; no wildcard with credentials (main.py, SR-COMM-04).</t>
        </is>
      </c>
      <c r="H16" s="52" t="n"/>
    </row>
    <row r="17" ht="30" customHeight="1" s="28">
      <c r="A17" s="45" t="inlineStr">
        <is>
          <t>V3.4</t>
        </is>
      </c>
      <c r="B17" s="45" t="inlineStr">
        <is>
          <t>Browser Security Mechanism Headers</t>
        </is>
      </c>
      <c r="C17" s="46" t="inlineStr">
        <is>
          <t>V3.4.3</t>
        </is>
      </c>
      <c r="D17" s="47"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48" t="n">
        <v>2</v>
      </c>
      <c r="F17" s="49" t="inlineStr">
        <is>
          <t>In Progress</t>
        </is>
      </c>
      <c r="G17" s="47" t="inlineStr">
        <is>
          <t>nginx sets CSP default-src 'none'; frame-ancestors 'none' (covers object-src); base-uri 'none' is not explicitly set.</t>
        </is>
      </c>
      <c r="H17" s="47" t="n"/>
    </row>
    <row r="18" ht="30" customHeight="1" s="28">
      <c r="A18" s="50" t="inlineStr">
        <is>
          <t>V3.4</t>
        </is>
      </c>
      <c r="B18" s="50" t="inlineStr">
        <is>
          <t>Browser Security Mechanism Headers</t>
        </is>
      </c>
      <c r="C18" s="51" t="inlineStr">
        <is>
          <t>V3.4.4</t>
        </is>
      </c>
      <c r="D18" s="52"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48" t="n">
        <v>2</v>
      </c>
      <c r="F18" s="49" t="inlineStr">
        <is>
          <t>Compliant</t>
        </is>
      </c>
      <c r="G18" s="52" t="inlineStr">
        <is>
          <t>nginx sets X-Content-Type-Options: nosniff on all responses.</t>
        </is>
      </c>
      <c r="H18" s="52" t="n"/>
    </row>
    <row r="19" ht="30" customHeight="1" s="28">
      <c r="A19" s="45" t="inlineStr">
        <is>
          <t>V3.4</t>
        </is>
      </c>
      <c r="B19" s="45" t="inlineStr">
        <is>
          <t>Browser Security Mechanism Headers</t>
        </is>
      </c>
      <c r="C19" s="46" t="inlineStr">
        <is>
          <t>V3.4.5</t>
        </is>
      </c>
      <c r="D19" s="47"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48" t="n">
        <v>2</v>
      </c>
      <c r="F19" s="49" t="inlineStr">
        <is>
          <t>Compliant</t>
        </is>
      </c>
      <c r="G19" s="47" t="inlineStr">
        <is>
          <t>nginx sets Referrer-Policy: no-referrer.</t>
        </is>
      </c>
      <c r="H19" s="47" t="n"/>
    </row>
    <row r="20" ht="30" customHeight="1" s="28">
      <c r="A20" s="50" t="inlineStr">
        <is>
          <t>V3.4</t>
        </is>
      </c>
      <c r="B20" s="50" t="inlineStr">
        <is>
          <t>Browser Security Mechanism Headers</t>
        </is>
      </c>
      <c r="C20" s="51" t="inlineStr">
        <is>
          <t>V3.4.6</t>
        </is>
      </c>
      <c r="D20" s="52"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48" t="n">
        <v>2</v>
      </c>
      <c r="F20" s="49" t="inlineStr">
        <is>
          <t>Compliant</t>
        </is>
      </c>
      <c r="G20" s="52" t="inlineStr">
        <is>
          <t>nginx CSP includes frame-ancestors 'none' on every response (X-Frame-Options: DENY also set).</t>
        </is>
      </c>
      <c r="H20" s="52" t="n"/>
    </row>
    <row r="21" ht="30" customHeight="1" s="28">
      <c r="A21" s="45" t="inlineStr">
        <is>
          <t>V3.4</t>
        </is>
      </c>
      <c r="B21" s="45" t="inlineStr">
        <is>
          <t>Browser Security Mechanism Headers</t>
        </is>
      </c>
      <c r="C21" s="46" t="inlineStr">
        <is>
          <t>V3.4.7</t>
        </is>
      </c>
      <c r="D21" s="47" t="inlineStr">
        <is>
          <t>Verify that the Content-Security-Policy header field specifies a location to report violations.</t>
        </is>
      </c>
      <c r="E21" s="54" t="n">
        <v>3</v>
      </c>
      <c r="F21" s="49" t="inlineStr">
        <is>
          <t>Not Started</t>
        </is>
      </c>
      <c r="G21" s="47" t="inlineStr">
        <is>
          <t>No CSP violation reporting endpoint configured.</t>
        </is>
      </c>
      <c r="H21" s="47" t="n"/>
    </row>
    <row r="22" ht="30" customHeight="1" s="28">
      <c r="A22" s="50" t="inlineStr">
        <is>
          <t>V3.4</t>
        </is>
      </c>
      <c r="B22" s="50" t="inlineStr">
        <is>
          <t>Browser Security Mechanism Headers</t>
        </is>
      </c>
      <c r="C22" s="51" t="inlineStr">
        <is>
          <t>V3.4.8</t>
        </is>
      </c>
      <c r="D22" s="52"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54" t="n">
        <v>3</v>
      </c>
      <c r="F22" s="49" t="inlineStr">
        <is>
          <t>Not Applicable</t>
        </is>
      </c>
      <c r="G22" s="52" t="inlineStr">
        <is>
          <t>Responses are JSON, not document (text/html) renders; COOP not applicable.</t>
        </is>
      </c>
      <c r="H22" s="52" t="n"/>
    </row>
    <row r="23" ht="18" customHeight="1" s="28">
      <c r="A23" s="44" t="inlineStr">
        <is>
          <t>V3.5</t>
        </is>
      </c>
      <c r="B23" s="44" t="inlineStr">
        <is>
          <t>Browser Origin Separation</t>
        </is>
      </c>
      <c r="C23" s="44" t="n"/>
      <c r="D23" s="44" t="n"/>
      <c r="E23" s="44" t="n"/>
      <c r="F23" s="44" t="n"/>
      <c r="G23" s="44" t="n"/>
      <c r="H23" s="44" t="n"/>
    </row>
    <row r="24" ht="30" customHeight="1" s="28">
      <c r="A24" s="45" t="inlineStr">
        <is>
          <t>V3.5</t>
        </is>
      </c>
      <c r="B24" s="45" t="inlineStr">
        <is>
          <t>Browser Origin Separation</t>
        </is>
      </c>
      <c r="C24" s="46" t="inlineStr">
        <is>
          <t>V3.5.1</t>
        </is>
      </c>
      <c r="D24" s="47"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53" t="n">
        <v>1</v>
      </c>
      <c r="F24" s="49" t="inlineStr">
        <is>
          <t>Compliant</t>
        </is>
      </c>
      <c r="G24" s="47" t="inlineStr">
        <is>
          <t>Auth uses a stateless bearer token (no cookies/ambient credentials), so the API is not exposed to CSRF.</t>
        </is>
      </c>
      <c r="H24" s="47" t="n"/>
    </row>
    <row r="25" ht="30" customHeight="1" s="28">
      <c r="A25" s="50" t="inlineStr">
        <is>
          <t>V3.5</t>
        </is>
      </c>
      <c r="B25" s="50" t="inlineStr">
        <is>
          <t>Browser Origin Separation</t>
        </is>
      </c>
      <c r="C25" s="51" t="inlineStr">
        <is>
          <t>V3.5.2</t>
        </is>
      </c>
      <c r="D25" s="52"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53" t="n">
        <v>1</v>
      </c>
      <c r="F25" s="49" t="inlineStr">
        <is>
          <t>Compliant</t>
        </is>
      </c>
      <c r="G25" s="52" t="inlineStr">
        <is>
          <t>The custom Authorization header forces a CORS preflight; no cookie-based ambient auth to bypass.</t>
        </is>
      </c>
      <c r="H25" s="52" t="n"/>
    </row>
    <row r="26" ht="30" customHeight="1" s="28">
      <c r="A26" s="45" t="inlineStr">
        <is>
          <t>V3.5</t>
        </is>
      </c>
      <c r="B26" s="45" t="inlineStr">
        <is>
          <t>Browser Origin Separation</t>
        </is>
      </c>
      <c r="C26" s="46" t="inlineStr">
        <is>
          <t>V3.5.3</t>
        </is>
      </c>
      <c r="D26" s="47"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53" t="n">
        <v>1</v>
      </c>
      <c r="F26" s="49" t="inlineStr">
        <is>
          <t>Compliant</t>
        </is>
      </c>
      <c r="G26" s="47" t="inlineStr">
        <is>
          <t>State-changing operations use POST/PATCH/PUT/DELETE; GET is read-only.</t>
        </is>
      </c>
      <c r="H26" s="47" t="n"/>
    </row>
    <row r="27" ht="30" customHeight="1" s="28">
      <c r="A27" s="50" t="inlineStr">
        <is>
          <t>V3.5</t>
        </is>
      </c>
      <c r="B27" s="50" t="inlineStr">
        <is>
          <t>Browser Origin Separation</t>
        </is>
      </c>
      <c r="C27" s="51" t="inlineStr">
        <is>
          <t>V3.5.4</t>
        </is>
      </c>
      <c r="D27" s="52"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48" t="n">
        <v>2</v>
      </c>
      <c r="F27" s="49" t="inlineStr">
        <is>
          <t>Not Applicable</t>
        </is>
      </c>
      <c r="G27" s="52" t="inlineStr">
        <is>
          <t>Single application; no multi-app same-origin separation needed.</t>
        </is>
      </c>
      <c r="H27" s="52" t="n"/>
    </row>
    <row r="28" ht="30" customHeight="1" s="28">
      <c r="A28" s="45" t="inlineStr">
        <is>
          <t>V3.5</t>
        </is>
      </c>
      <c r="B28" s="45" t="inlineStr">
        <is>
          <t>Browser Origin Separation</t>
        </is>
      </c>
      <c r="C28" s="46" t="inlineStr">
        <is>
          <t>V3.5.5</t>
        </is>
      </c>
      <c r="D28" s="47" t="inlineStr">
        <is>
          <t>Verify that messages received by the postMessage interface are discarded if the origin of the message is not trusted, or if the syntax of the message is invalid.</t>
        </is>
      </c>
      <c r="E28" s="48" t="n">
        <v>2</v>
      </c>
      <c r="F28" s="49" t="inlineStr">
        <is>
          <t>Not Applicable</t>
        </is>
      </c>
      <c r="G28" s="47" t="inlineStr">
        <is>
          <t>No postMessage usage (no client JS).</t>
        </is>
      </c>
      <c r="H28" s="47" t="n"/>
    </row>
    <row r="29" ht="30" customHeight="1" s="28">
      <c r="A29" s="50" t="inlineStr">
        <is>
          <t>V3.5</t>
        </is>
      </c>
      <c r="B29" s="50" t="inlineStr">
        <is>
          <t>Browser Origin Separation</t>
        </is>
      </c>
      <c r="C29" s="51" t="inlineStr">
        <is>
          <t>V3.5.6</t>
        </is>
      </c>
      <c r="D29" s="52" t="inlineStr">
        <is>
          <t>Verify that JSONP functionality is not enabled anywhere across the application to avoid Cross-Site Script Inclusion (XSSI) attacks.</t>
        </is>
      </c>
      <c r="E29" s="54" t="n">
        <v>3</v>
      </c>
      <c r="F29" s="49" t="inlineStr">
        <is>
          <t>Not Applicable</t>
        </is>
      </c>
      <c r="G29" s="52" t="inlineStr">
        <is>
          <t>No JSONP.</t>
        </is>
      </c>
      <c r="H29" s="52" t="n"/>
    </row>
    <row r="30" ht="30" customHeight="1" s="28">
      <c r="A30" s="45" t="inlineStr">
        <is>
          <t>V3.5</t>
        </is>
      </c>
      <c r="B30" s="45" t="inlineStr">
        <is>
          <t>Browser Origin Separation</t>
        </is>
      </c>
      <c r="C30" s="46" t="inlineStr">
        <is>
          <t>V3.5.7</t>
        </is>
      </c>
      <c r="D30" s="47" t="inlineStr">
        <is>
          <t>Verify that data requiring authorization is not included in script resource responses, like JavaScript files, to prevent Cross-Site Script Inclusion (XSSI) attacks.</t>
        </is>
      </c>
      <c r="E30" s="54" t="n">
        <v>3</v>
      </c>
      <c r="F30" s="49" t="inlineStr">
        <is>
          <t>Not Applicable</t>
        </is>
      </c>
      <c r="G30" s="47" t="inlineStr">
        <is>
          <t>No JavaScript resources are served.</t>
        </is>
      </c>
      <c r="H30" s="47" t="n"/>
    </row>
    <row r="31" ht="30" customHeight="1" s="28">
      <c r="A31" s="50" t="inlineStr">
        <is>
          <t>V3.5</t>
        </is>
      </c>
      <c r="B31" s="50" t="inlineStr">
        <is>
          <t>Browser Origin Separation</t>
        </is>
      </c>
      <c r="C31" s="51" t="inlineStr">
        <is>
          <t>V3.5.8</t>
        </is>
      </c>
      <c r="D31" s="52"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54" t="n">
        <v>3</v>
      </c>
      <c r="F31" s="49" t="inlineStr">
        <is>
          <t>Not Applicable</t>
        </is>
      </c>
      <c r="G31" s="52" t="inlineStr">
        <is>
          <t>Product images are intentionally public; the authenticated resource (invoices) is served via API with auth. No cross-origin embedding scenario for a JSON API.</t>
        </is>
      </c>
      <c r="H31" s="52" t="n"/>
    </row>
    <row r="32" ht="18" customHeight="1" s="28">
      <c r="A32" s="44" t="inlineStr">
        <is>
          <t>V3.6</t>
        </is>
      </c>
      <c r="B32" s="44" t="inlineStr">
        <is>
          <t>External Resource Integrity</t>
        </is>
      </c>
      <c r="C32" s="44" t="n"/>
      <c r="D32" s="44" t="n"/>
      <c r="E32" s="44" t="n"/>
      <c r="F32" s="44" t="n"/>
      <c r="G32" s="44" t="n"/>
      <c r="H32" s="44" t="n"/>
    </row>
    <row r="33" ht="30" customHeight="1" s="28">
      <c r="A33" s="45" t="inlineStr">
        <is>
          <t>V3.6</t>
        </is>
      </c>
      <c r="B33" s="45" t="inlineStr">
        <is>
          <t>External Resource Integrity</t>
        </is>
      </c>
      <c r="C33" s="46" t="inlineStr">
        <is>
          <t>V3.6.1</t>
        </is>
      </c>
      <c r="D33" s="47"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54" t="n">
        <v>3</v>
      </c>
      <c r="F33" s="49" t="inlineStr">
        <is>
          <t>Not Applicable</t>
        </is>
      </c>
      <c r="G33" s="47" t="inlineStr">
        <is>
          <t>No externally hosted client-side assets/CDN.</t>
        </is>
      </c>
      <c r="H33" s="47" t="n"/>
    </row>
    <row r="34" ht="18" customHeight="1" s="28">
      <c r="A34" s="44" t="inlineStr">
        <is>
          <t>V3.7</t>
        </is>
      </c>
      <c r="B34" s="44" t="inlineStr">
        <is>
          <t>Other Browser Security Considerations</t>
        </is>
      </c>
      <c r="C34" s="44" t="n"/>
      <c r="D34" s="44" t="n"/>
      <c r="E34" s="44" t="n"/>
      <c r="F34" s="44" t="n"/>
      <c r="G34" s="44" t="n"/>
      <c r="H34" s="44" t="n"/>
    </row>
    <row r="35" ht="30" customHeight="1" s="28">
      <c r="A35" s="45" t="inlineStr">
        <is>
          <t>V3.7</t>
        </is>
      </c>
      <c r="B35" s="45" t="inlineStr">
        <is>
          <t>Other Browser Security Considerations</t>
        </is>
      </c>
      <c r="C35" s="46" t="inlineStr">
        <is>
          <t>V3.7.1</t>
        </is>
      </c>
      <c r="D35" s="47"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48" t="n">
        <v>2</v>
      </c>
      <c r="F35" s="49" t="inlineStr">
        <is>
          <t>Not Applicable</t>
        </is>
      </c>
      <c r="G35" s="47" t="inlineStr">
        <is>
          <t>No client-side technologies in use.</t>
        </is>
      </c>
      <c r="H35" s="47" t="n"/>
    </row>
    <row r="36" ht="30" customHeight="1" s="28">
      <c r="A36" s="50" t="inlineStr">
        <is>
          <t>V3.7</t>
        </is>
      </c>
      <c r="B36" s="50" t="inlineStr">
        <is>
          <t>Other Browser Security Considerations</t>
        </is>
      </c>
      <c r="C36" s="51" t="inlineStr">
        <is>
          <t>V3.7.2</t>
        </is>
      </c>
      <c r="D36" s="52" t="inlineStr">
        <is>
          <t>Verify that the application will only automatically redirect the user to a different hostname or domain (which is not controlled by the application) where the destination appears on an allowlist.</t>
        </is>
      </c>
      <c r="E36" s="48" t="n">
        <v>2</v>
      </c>
      <c r="F36" s="49" t="inlineStr">
        <is>
          <t>Compliant</t>
        </is>
      </c>
      <c r="G36" s="52" t="inlineStr">
        <is>
          <t>No user-controlled redirects; nginx redirects only to its fixed server_name (avoids Host-header open redirect).</t>
        </is>
      </c>
      <c r="H36" s="52" t="n"/>
    </row>
    <row r="37" ht="30" customHeight="1" s="28">
      <c r="A37" s="45" t="inlineStr">
        <is>
          <t>V3.7</t>
        </is>
      </c>
      <c r="B37" s="45" t="inlineStr">
        <is>
          <t>Other Browser Security Considerations</t>
        </is>
      </c>
      <c r="C37" s="46" t="inlineStr">
        <is>
          <t>V3.7.3</t>
        </is>
      </c>
      <c r="D37" s="47" t="inlineStr">
        <is>
          <t>Verify that the application shows a notification when the user is being redirected to a URL outside of the application's control, with an option to cancel the navigation.</t>
        </is>
      </c>
      <c r="E37" s="54" t="n">
        <v>3</v>
      </c>
      <c r="F37" s="49" t="inlineStr">
        <is>
          <t>Not Applicable</t>
        </is>
      </c>
      <c r="G37" s="47" t="inlineStr">
        <is>
          <t>No redirects to external/uncontrolled destinations.</t>
        </is>
      </c>
      <c r="H37" s="47" t="n"/>
    </row>
    <row r="38" ht="30" customHeight="1" s="28">
      <c r="A38" s="50" t="inlineStr">
        <is>
          <t>V3.7</t>
        </is>
      </c>
      <c r="B38" s="50" t="inlineStr">
        <is>
          <t>Other Browser Security Considerations</t>
        </is>
      </c>
      <c r="C38" s="51" t="inlineStr">
        <is>
          <t>V3.7.4</t>
        </is>
      </c>
      <c r="D38" s="52"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54" t="n">
        <v>3</v>
      </c>
      <c r="F38" s="49" t="inlineStr">
        <is>
          <t>In Progress</t>
        </is>
      </c>
      <c r="G38" s="52" t="inlineStr">
        <is>
          <t>HSTS header includes the 'preload' directive, but the production domain is a placeholder and not yet submitted to the browser preload list.</t>
        </is>
      </c>
      <c r="H38" s="52" t="n"/>
    </row>
    <row r="39" ht="30" customHeight="1" s="28">
      <c r="A39" s="45" t="inlineStr">
        <is>
          <t>V3.7</t>
        </is>
      </c>
      <c r="B39" s="45" t="inlineStr">
        <is>
          <t>Other Browser Security Considerations</t>
        </is>
      </c>
      <c r="C39" s="46" t="inlineStr">
        <is>
          <t>V3.7.5</t>
        </is>
      </c>
      <c r="D39" s="47" t="inlineStr">
        <is>
          <t>Verify that the application behaves as documented (such as warning the user or blocking access) if the browser used to access the application does not support the expected security features.</t>
        </is>
      </c>
      <c r="E39" s="54" t="n">
        <v>3</v>
      </c>
      <c r="F39" s="49" t="inlineStr">
        <is>
          <t>Not Applicable</t>
        </is>
      </c>
      <c r="G39" s="47" t="inlineStr">
        <is>
          <t>No browser client to degrade.</t>
        </is>
      </c>
      <c r="H39" s="47" t="n"/>
    </row>
  </sheetData>
  <conditionalFormatting sqref="F2:F39">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39"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1"/>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V4.1</t>
        </is>
      </c>
      <c r="B2" s="44" t="inlineStr">
        <is>
          <t>Generic Web Service Security</t>
        </is>
      </c>
      <c r="C2" s="44" t="n"/>
      <c r="D2" s="44" t="n"/>
      <c r="E2" s="44" t="n"/>
      <c r="F2" s="44" t="n"/>
      <c r="G2" s="44" t="n"/>
      <c r="H2" s="44" t="n"/>
    </row>
    <row r="3" ht="30" customHeight="1" s="28">
      <c r="A3" s="45" t="inlineStr">
        <is>
          <t>V4.1</t>
        </is>
      </c>
      <c r="B3" s="45" t="inlineStr">
        <is>
          <t>Generic Web Service Security</t>
        </is>
      </c>
      <c r="C3" s="46" t="inlineStr">
        <is>
          <t>V4.1.1</t>
        </is>
      </c>
      <c r="D3" s="47"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53" t="n">
        <v>1</v>
      </c>
      <c r="F3" s="49" t="inlineStr">
        <is>
          <t>Compliant</t>
        </is>
      </c>
      <c r="G3" s="47" t="inlineStr">
        <is>
          <t>FastAPI responses carry Content-Type: application/json with UTF-8 encoding.</t>
        </is>
      </c>
      <c r="H3" s="47" t="n"/>
    </row>
    <row r="4" ht="30" customHeight="1" s="28">
      <c r="A4" s="50" t="inlineStr">
        <is>
          <t>V4.1</t>
        </is>
      </c>
      <c r="B4" s="50" t="inlineStr">
        <is>
          <t>Generic Web Service Security</t>
        </is>
      </c>
      <c r="C4" s="51" t="inlineStr">
        <is>
          <t>V4.1.2</t>
        </is>
      </c>
      <c r="D4" s="52"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48" t="n">
        <v>2</v>
      </c>
      <c r="F4" s="49" t="inlineStr">
        <is>
          <t>In Progress</t>
        </is>
      </c>
      <c r="G4" s="52" t="inlineStr">
        <is>
          <t>nginx redirects all HTTP to HTTPS (301). For a pure API, non-browser endpoints should ideally reject rather than transparently redirect to surface accidental plaintext use.</t>
        </is>
      </c>
      <c r="H4" s="52" t="n"/>
    </row>
    <row r="5" ht="30" customHeight="1" s="28">
      <c r="A5" s="45" t="inlineStr">
        <is>
          <t>V4.1</t>
        </is>
      </c>
      <c r="B5" s="45" t="inlineStr">
        <is>
          <t>Generic Web Service Security</t>
        </is>
      </c>
      <c r="C5" s="46" t="inlineStr">
        <is>
          <t>V4.1.3</t>
        </is>
      </c>
      <c r="D5" s="47"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48" t="n">
        <v>2</v>
      </c>
      <c r="F5" s="49" t="inlineStr">
        <is>
          <t>Compliant</t>
        </is>
      </c>
      <c r="G5" s="47" t="inlineStr">
        <is>
          <t>nginx overwrites X-Real-IP/X-Forwarded-For from the real connection and the app is reachable only via the proxy (not published). (uvicorn --forwarded-allow-ips is broad but the app is network-isolated.)</t>
        </is>
      </c>
      <c r="H5" s="47" t="n"/>
    </row>
    <row r="6" ht="30" customHeight="1" s="28">
      <c r="A6" s="50" t="inlineStr">
        <is>
          <t>V4.1</t>
        </is>
      </c>
      <c r="B6" s="50" t="inlineStr">
        <is>
          <t>Generic Web Service Security</t>
        </is>
      </c>
      <c r="C6" s="51" t="inlineStr">
        <is>
          <t>V4.1.4</t>
        </is>
      </c>
      <c r="D6" s="52" t="inlineStr">
        <is>
          <t>Verify that only HTTP methods that are explicitly supported by the application or its API (including OPTIONS during preflight requests) can be used and that unused methods are blocked.</t>
        </is>
      </c>
      <c r="E6" s="54" t="n">
        <v>3</v>
      </c>
      <c r="F6" s="49" t="inlineStr">
        <is>
          <t>Compliant</t>
        </is>
      </c>
      <c r="G6" s="52" t="inlineStr">
        <is>
          <t>Only declared route methods are served; FastAPI returns 405 for unsupported methods; CORS lists allowed methods.</t>
        </is>
      </c>
      <c r="H6" s="52" t="n"/>
    </row>
    <row r="7" ht="30" customHeight="1" s="28">
      <c r="A7" s="45" t="inlineStr">
        <is>
          <t>V4.1</t>
        </is>
      </c>
      <c r="B7" s="45" t="inlineStr">
        <is>
          <t>Generic Web Service Security</t>
        </is>
      </c>
      <c r="C7" s="46" t="inlineStr">
        <is>
          <t>V4.1.5</t>
        </is>
      </c>
      <c r="D7" s="47" t="inlineStr">
        <is>
          <t>Verify that per-message digital signatures are used to provide additional assurance on top of transport protections for requests or transactions which are highly sensitive or which traverse a number of systems.</t>
        </is>
      </c>
      <c r="E7" s="54" t="n">
        <v>3</v>
      </c>
      <c r="F7" s="49" t="inlineStr">
        <is>
          <t>Not Applicable</t>
        </is>
      </c>
      <c r="G7" s="47" t="inlineStr">
        <is>
          <t>No per-message digital signature requirement for in-scope transactions.</t>
        </is>
      </c>
      <c r="H7" s="47" t="n"/>
    </row>
    <row r="8" ht="18" customHeight="1" s="28">
      <c r="A8" s="44" t="inlineStr">
        <is>
          <t>V4.2</t>
        </is>
      </c>
      <c r="B8" s="44" t="inlineStr">
        <is>
          <t>HTTP Message Structure Validation</t>
        </is>
      </c>
      <c r="C8" s="44" t="n"/>
      <c r="D8" s="44" t="n"/>
      <c r="E8" s="44" t="n"/>
      <c r="F8" s="44" t="n"/>
      <c r="G8" s="44" t="n"/>
      <c r="H8" s="44" t="n"/>
    </row>
    <row r="9" ht="30" customHeight="1" s="28">
      <c r="A9" s="45" t="inlineStr">
        <is>
          <t>V4.2</t>
        </is>
      </c>
      <c r="B9" s="45" t="inlineStr">
        <is>
          <t>HTTP Message Structure Validation</t>
        </is>
      </c>
      <c r="C9" s="46" t="inlineStr">
        <is>
          <t>V4.2.1</t>
        </is>
      </c>
      <c r="D9" s="47"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48" t="n">
        <v>2</v>
      </c>
      <c r="F9" s="49" t="inlineStr">
        <is>
          <t>Compliant</t>
        </is>
      </c>
      <c r="G9" s="47" t="inlineStr">
        <is>
          <t>Message framing handled by nginx (HTTP/2 enabled) and uvicorn; no custom HTTP parsing.</t>
        </is>
      </c>
      <c r="H9" s="47" t="n"/>
    </row>
    <row r="10" ht="30" customHeight="1" s="28">
      <c r="A10" s="50" t="inlineStr">
        <is>
          <t>V4.2</t>
        </is>
      </c>
      <c r="B10" s="50" t="inlineStr">
        <is>
          <t>HTTP Message Structure Validation</t>
        </is>
      </c>
      <c r="C10" s="51" t="inlineStr">
        <is>
          <t>V4.2.2</t>
        </is>
      </c>
      <c r="D10" s="52" t="inlineStr">
        <is>
          <t>Verify that when generating HTTP messages, the Content-Length header field does not conflict with the length of the content as determined by the framing of the HTTP protocol, in order to prevent request smuggling attacks.</t>
        </is>
      </c>
      <c r="E10" s="54" t="n">
        <v>3</v>
      </c>
      <c r="F10" s="49" t="inlineStr">
        <is>
          <t>Compliant</t>
        </is>
      </c>
      <c r="G10" s="52" t="inlineStr">
        <is>
          <t>Content-Length/framing handled by nginx and uvicorn.</t>
        </is>
      </c>
      <c r="H10" s="52" t="n"/>
    </row>
    <row r="11" ht="30" customHeight="1" s="28">
      <c r="A11" s="45" t="inlineStr">
        <is>
          <t>V4.2</t>
        </is>
      </c>
      <c r="B11" s="45" t="inlineStr">
        <is>
          <t>HTTP Message Structure Validation</t>
        </is>
      </c>
      <c r="C11" s="46" t="inlineStr">
        <is>
          <t>V4.2.3</t>
        </is>
      </c>
      <c r="D11" s="47" t="inlineStr">
        <is>
          <t>Verify that the application does not send nor accept HTTP/2 or HTTP/3 messages with connection-specific header fields such as Transfer-Encoding to prevent response splitting and header injection attacks.</t>
        </is>
      </c>
      <c r="E11" s="54" t="n">
        <v>3</v>
      </c>
      <c r="F11" s="49" t="inlineStr">
        <is>
          <t>Compliant</t>
        </is>
      </c>
      <c r="G11" s="47" t="inlineStr">
        <is>
          <t>Connection-specific headers handled/normalized by nginx and uvicorn.</t>
        </is>
      </c>
      <c r="H11" s="47" t="n"/>
    </row>
    <row r="12" ht="30" customHeight="1" s="28">
      <c r="A12" s="50" t="inlineStr">
        <is>
          <t>V4.2</t>
        </is>
      </c>
      <c r="B12" s="50" t="inlineStr">
        <is>
          <t>HTTP Message Structure Validation</t>
        </is>
      </c>
      <c r="C12" s="51" t="inlineStr">
        <is>
          <t>V4.2.4</t>
        </is>
      </c>
      <c r="D12" s="52" t="inlineStr">
        <is>
          <t>Verify that the application only accepts HTTP/2 and HTTP/3 requests where the header fields and values do not contain any CR (\r), LF (\n), or CRLF (\r\n) sequences, to prevent header injection attacks.</t>
        </is>
      </c>
      <c r="E12" s="54" t="n">
        <v>3</v>
      </c>
      <c r="F12" s="49" t="inlineStr">
        <is>
          <t>Compliant</t>
        </is>
      </c>
      <c r="G12" s="52" t="inlineStr">
        <is>
          <t>CR/LF in header fields rejected by nginx/uvicorn HTTP parsing.</t>
        </is>
      </c>
      <c r="H12" s="52" t="n"/>
    </row>
    <row r="13" ht="30" customHeight="1" s="28">
      <c r="A13" s="45" t="inlineStr">
        <is>
          <t>V4.2</t>
        </is>
      </c>
      <c r="B13" s="45" t="inlineStr">
        <is>
          <t>HTTP Message Structure Validation</t>
        </is>
      </c>
      <c r="C13" s="46" t="inlineStr">
        <is>
          <t>V4.2.5</t>
        </is>
      </c>
      <c r="D13" s="47"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54" t="n">
        <v>3</v>
      </c>
      <c r="F13" s="49" t="inlineStr">
        <is>
          <t>Compliant</t>
        </is>
      </c>
      <c r="G13" s="47" t="inlineStr">
        <is>
          <t>nginx enforces default URI/header size limits and client_max_body_size 10m.</t>
        </is>
      </c>
      <c r="H13" s="47" t="n"/>
    </row>
    <row r="14" ht="18" customHeight="1" s="28">
      <c r="A14" s="44" t="inlineStr">
        <is>
          <t>V4.3</t>
        </is>
      </c>
      <c r="B14" s="44" t="inlineStr">
        <is>
          <t>GraphQL</t>
        </is>
      </c>
      <c r="C14" s="44" t="n"/>
      <c r="D14" s="44" t="n"/>
      <c r="E14" s="44" t="n"/>
      <c r="F14" s="44" t="n"/>
      <c r="G14" s="44" t="n"/>
      <c r="H14" s="44" t="n"/>
    </row>
    <row r="15" ht="30" customHeight="1" s="28">
      <c r="A15" s="45" t="inlineStr">
        <is>
          <t>V4.3</t>
        </is>
      </c>
      <c r="B15" s="45" t="inlineStr">
        <is>
          <t>GraphQL</t>
        </is>
      </c>
      <c r="C15" s="46" t="inlineStr">
        <is>
          <t>V4.3.1</t>
        </is>
      </c>
      <c r="D15" s="47" t="inlineStr">
        <is>
          <t>Verify that a query allowlist, depth limiting, amount limiting, or query cost analysis is used to prevent GraphQL or data layer expression Denial of Service (DoS) as a result of expensive, nested queries.</t>
        </is>
      </c>
      <c r="E15" s="48" t="n">
        <v>2</v>
      </c>
      <c r="F15" s="49" t="inlineStr">
        <is>
          <t>Not Applicable</t>
        </is>
      </c>
      <c r="G15" s="47" t="inlineStr">
        <is>
          <t>No GraphQL endpoint.</t>
        </is>
      </c>
      <c r="H15" s="47" t="n"/>
    </row>
    <row r="16" ht="30" customHeight="1" s="28">
      <c r="A16" s="50" t="inlineStr">
        <is>
          <t>V4.3</t>
        </is>
      </c>
      <c r="B16" s="50" t="inlineStr">
        <is>
          <t>GraphQL</t>
        </is>
      </c>
      <c r="C16" s="51" t="inlineStr">
        <is>
          <t>V4.3.2</t>
        </is>
      </c>
      <c r="D16" s="52" t="inlineStr">
        <is>
          <t>Verify that GraphQL introspection queries are disabled in the production environment unless the GraphQL API is meant to be used by other parties.</t>
        </is>
      </c>
      <c r="E16" s="48" t="n">
        <v>2</v>
      </c>
      <c r="F16" s="49" t="inlineStr">
        <is>
          <t>Not Applicable</t>
        </is>
      </c>
      <c r="G16" s="52" t="inlineStr">
        <is>
          <t>No GraphQL endpoint.</t>
        </is>
      </c>
      <c r="H16" s="52" t="n"/>
    </row>
    <row r="17" ht="18" customHeight="1" s="28">
      <c r="A17" s="44" t="inlineStr">
        <is>
          <t>V4.4</t>
        </is>
      </c>
      <c r="B17" s="44" t="inlineStr">
        <is>
          <t>WebSocket</t>
        </is>
      </c>
      <c r="C17" s="44" t="n"/>
      <c r="D17" s="44" t="n"/>
      <c r="E17" s="44" t="n"/>
      <c r="F17" s="44" t="n"/>
      <c r="G17" s="44" t="n"/>
      <c r="H17" s="44" t="n"/>
    </row>
    <row r="18" ht="30" customHeight="1" s="28">
      <c r="A18" s="45" t="inlineStr">
        <is>
          <t>V4.4</t>
        </is>
      </c>
      <c r="B18" s="45" t="inlineStr">
        <is>
          <t>WebSocket</t>
        </is>
      </c>
      <c r="C18" s="46" t="inlineStr">
        <is>
          <t>V4.4.1</t>
        </is>
      </c>
      <c r="D18" s="47" t="inlineStr">
        <is>
          <t>Verify that WebSocket over TLS (WSS) is used for all WebSocket connections.</t>
        </is>
      </c>
      <c r="E18" s="53" t="n">
        <v>1</v>
      </c>
      <c r="F18" s="49" t="inlineStr">
        <is>
          <t>Not Applicable</t>
        </is>
      </c>
      <c r="G18" s="47" t="inlineStr">
        <is>
          <t>No WebSocket endpoints.</t>
        </is>
      </c>
      <c r="H18" s="47" t="n"/>
    </row>
    <row r="19" ht="30" customHeight="1" s="28">
      <c r="A19" s="50" t="inlineStr">
        <is>
          <t>V4.4</t>
        </is>
      </c>
      <c r="B19" s="50" t="inlineStr">
        <is>
          <t>WebSocket</t>
        </is>
      </c>
      <c r="C19" s="51" t="inlineStr">
        <is>
          <t>V4.4.2</t>
        </is>
      </c>
      <c r="D19" s="52" t="inlineStr">
        <is>
          <t>Verify that, during the initial HTTP WebSocket handshake, the Origin header field is checked against a list of origins allowed for the application.</t>
        </is>
      </c>
      <c r="E19" s="48" t="n">
        <v>2</v>
      </c>
      <c r="F19" s="49" t="inlineStr">
        <is>
          <t>Not Applicable</t>
        </is>
      </c>
      <c r="G19" s="52" t="inlineStr">
        <is>
          <t>No WebSocket endpoints.</t>
        </is>
      </c>
      <c r="H19" s="52" t="n"/>
    </row>
    <row r="20" ht="30" customHeight="1" s="28">
      <c r="A20" s="45" t="inlineStr">
        <is>
          <t>V4.4</t>
        </is>
      </c>
      <c r="B20" s="45" t="inlineStr">
        <is>
          <t>WebSocket</t>
        </is>
      </c>
      <c r="C20" s="46" t="inlineStr">
        <is>
          <t>V4.4.3</t>
        </is>
      </c>
      <c r="D20" s="47" t="inlineStr">
        <is>
          <t>Verify that, if the application's standard session management cannot be used, dedicated tokens are being used for this, which comply with the relevant Session Management security requirements.</t>
        </is>
      </c>
      <c r="E20" s="48" t="n">
        <v>2</v>
      </c>
      <c r="F20" s="49" t="inlineStr">
        <is>
          <t>Not Applicable</t>
        </is>
      </c>
      <c r="G20" s="47" t="inlineStr">
        <is>
          <t>No WebSocket endpoints.</t>
        </is>
      </c>
      <c r="H20" s="47" t="n"/>
    </row>
    <row r="21" ht="30" customHeight="1" s="28">
      <c r="A21" s="50" t="inlineStr">
        <is>
          <t>V4.4</t>
        </is>
      </c>
      <c r="B21" s="50" t="inlineStr">
        <is>
          <t>WebSocket</t>
        </is>
      </c>
      <c r="C21" s="51" t="inlineStr">
        <is>
          <t>V4.4.4</t>
        </is>
      </c>
      <c r="D21" s="52" t="inlineStr">
        <is>
          <t>Verify that dedicated WebSocket session management tokens are initially obtained or validated through the previously authenticated HTTPS session when transitioning an existing HTTPS session to a WebSocket channel.</t>
        </is>
      </c>
      <c r="E21" s="48" t="n">
        <v>2</v>
      </c>
      <c r="F21" s="49" t="inlineStr">
        <is>
          <t>Not Applicable</t>
        </is>
      </c>
      <c r="G21" s="52" t="inlineStr">
        <is>
          <t>No WebSocket endpoints.</t>
        </is>
      </c>
      <c r="H21" s="52" t="n"/>
    </row>
  </sheetData>
  <conditionalFormatting sqref="F2:F21">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21"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18"/>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V5.1</t>
        </is>
      </c>
      <c r="B2" s="44" t="inlineStr">
        <is>
          <t>File Handling Documentation</t>
        </is>
      </c>
      <c r="C2" s="44" t="n"/>
      <c r="D2" s="44" t="n"/>
      <c r="E2" s="44" t="n"/>
      <c r="F2" s="44" t="n"/>
      <c r="G2" s="44" t="n"/>
      <c r="H2" s="44" t="n"/>
    </row>
    <row r="3" ht="30" customHeight="1" s="28">
      <c r="A3" s="45" t="inlineStr">
        <is>
          <t>V5.1</t>
        </is>
      </c>
      <c r="B3" s="45" t="inlineStr">
        <is>
          <t>File Handling Documentation</t>
        </is>
      </c>
      <c r="C3" s="46" t="inlineStr">
        <is>
          <t>V5.1.1</t>
        </is>
      </c>
      <c r="D3" s="47"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48" t="n">
        <v>2</v>
      </c>
      <c r="F3" s="49" t="inlineStr">
        <is>
          <t>Compliant</t>
        </is>
      </c>
      <c r="G3" s="47" t="inlineStr">
        <is>
          <t>Permitted types, extensions and 10MB size limit documented (NFR-06, SR-INPUT-02/03) and enforced (core/image_service.py); rejected files return 4xx.</t>
        </is>
      </c>
      <c r="H3" s="47" t="n"/>
    </row>
    <row r="4" ht="18" customHeight="1" s="28">
      <c r="A4" s="44" t="inlineStr">
        <is>
          <t>V5.2</t>
        </is>
      </c>
      <c r="B4" s="44" t="inlineStr">
        <is>
          <t>File Upload and Content</t>
        </is>
      </c>
      <c r="C4" s="44" t="n"/>
      <c r="D4" s="44" t="n"/>
      <c r="E4" s="44" t="n"/>
      <c r="F4" s="44" t="n"/>
      <c r="G4" s="44" t="n"/>
      <c r="H4" s="44" t="n"/>
    </row>
    <row r="5" ht="30" customHeight="1" s="28">
      <c r="A5" s="45" t="inlineStr">
        <is>
          <t>V5.2</t>
        </is>
      </c>
      <c r="B5" s="45" t="inlineStr">
        <is>
          <t>File Upload and Content</t>
        </is>
      </c>
      <c r="C5" s="46" t="inlineStr">
        <is>
          <t>V5.2.1</t>
        </is>
      </c>
      <c r="D5" s="47" t="inlineStr">
        <is>
          <t>Verify that the application will only accept files of a size which it can process without causing a loss of performance or a denial of service attack.</t>
        </is>
      </c>
      <c r="E5" s="53" t="n">
        <v>1</v>
      </c>
      <c r="F5" s="49" t="inlineStr">
        <is>
          <t>Compliant</t>
        </is>
      </c>
      <c r="G5" s="47" t="inlineStr">
        <is>
          <t>10MB upload limit enforced at the API (routers/images.py) and at nginx (client_max_body_size 10m).</t>
        </is>
      </c>
      <c r="H5" s="47" t="n"/>
    </row>
    <row r="6" ht="30" customHeight="1" s="28">
      <c r="A6" s="50" t="inlineStr">
        <is>
          <t>V5.2</t>
        </is>
      </c>
      <c r="B6" s="50" t="inlineStr">
        <is>
          <t>File Upload and Content</t>
        </is>
      </c>
      <c r="C6" s="51" t="inlineStr">
        <is>
          <t>V5.2.2</t>
        </is>
      </c>
      <c r="D6" s="52"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53" t="n">
        <v>1</v>
      </c>
      <c r="F6" s="49" t="inlineStr">
        <is>
          <t>Compliant</t>
        </is>
      </c>
      <c r="G6" s="52" t="inlineStr">
        <is>
          <t>Extension + declared MIME + magic-byte detection with cross-check (image_service.validate_*), SR-INPUT-02.</t>
        </is>
      </c>
      <c r="H6" s="52" t="n"/>
    </row>
    <row r="7" ht="30" customHeight="1" s="28">
      <c r="A7" s="45" t="inlineStr">
        <is>
          <t>V5.2</t>
        </is>
      </c>
      <c r="B7" s="45" t="inlineStr">
        <is>
          <t>File Upload and Content</t>
        </is>
      </c>
      <c r="C7" s="46" t="inlineStr">
        <is>
          <t>V5.2.3</t>
        </is>
      </c>
      <c r="D7" s="47" t="inlineStr">
        <is>
          <t>Verify that the application checks compressed files (e.g., zip, gz, docx, odt) against maximum allowed uncompressed size and against maximum number of files before uncompressing the file.</t>
        </is>
      </c>
      <c r="E7" s="48" t="n">
        <v>2</v>
      </c>
      <c r="F7" s="49" t="inlineStr">
        <is>
          <t>Not Applicable</t>
        </is>
      </c>
      <c r="G7" s="47" t="inlineStr">
        <is>
          <t>No archive/compressed-file uploads are accepted (images only).</t>
        </is>
      </c>
      <c r="H7" s="47" t="n"/>
    </row>
    <row r="8" ht="30" customHeight="1" s="28">
      <c r="A8" s="50" t="inlineStr">
        <is>
          <t>V5.2</t>
        </is>
      </c>
      <c r="B8" s="50" t="inlineStr">
        <is>
          <t>File Upload and Content</t>
        </is>
      </c>
      <c r="C8" s="51" t="inlineStr">
        <is>
          <t>V5.2.4</t>
        </is>
      </c>
      <c r="D8" s="52" t="inlineStr">
        <is>
          <t>Verify that a file size quota and maximum number of files per user are enforced to ensure that a single user cannot fill up the storage with too many files, or excessively large files.</t>
        </is>
      </c>
      <c r="E8" s="54" t="n">
        <v>3</v>
      </c>
      <c r="F8" s="49" t="inlineStr">
        <is>
          <t>Compliant</t>
        </is>
      </c>
      <c r="G8" s="52" t="inlineStr">
        <is>
          <t>Per-seller 200MB quota and max 10 images per product enforced (services/image_use_case.py).</t>
        </is>
      </c>
      <c r="H8" s="52" t="n"/>
    </row>
    <row r="9" ht="30" customHeight="1" s="28">
      <c r="A9" s="45" t="inlineStr">
        <is>
          <t>V5.2</t>
        </is>
      </c>
      <c r="B9" s="45" t="inlineStr">
        <is>
          <t>File Upload and Content</t>
        </is>
      </c>
      <c r="C9" s="46" t="inlineStr">
        <is>
          <t>V5.2.5</t>
        </is>
      </c>
      <c r="D9" s="47" t="inlineStr">
        <is>
          <t>Verify that the application does not allow uploading compressed files containing symlinks unless this is specifically required (in which case it will be necessary to enforce an allowlist of the files that can be symlinked to).</t>
        </is>
      </c>
      <c r="E9" s="54" t="n">
        <v>3</v>
      </c>
      <c r="F9" s="49" t="inlineStr">
        <is>
          <t>Not Applicable</t>
        </is>
      </c>
      <c r="G9" s="47" t="inlineStr">
        <is>
          <t>No compressed uploads; save_file also rejects symlink targets.</t>
        </is>
      </c>
      <c r="H9" s="47" t="n"/>
    </row>
    <row r="10" ht="30" customHeight="1" s="28">
      <c r="A10" s="50" t="inlineStr">
        <is>
          <t>V5.2</t>
        </is>
      </c>
      <c r="B10" s="50" t="inlineStr">
        <is>
          <t>File Upload and Content</t>
        </is>
      </c>
      <c r="C10" s="51" t="inlineStr">
        <is>
          <t>V5.2.6</t>
        </is>
      </c>
      <c r="D10" s="52" t="inlineStr">
        <is>
          <t>Verify that the application rejects uploaded images with a pixel size larger than the maximum allowed, to prevent pixel flood attacks.</t>
        </is>
      </c>
      <c r="E10" s="54" t="n">
        <v>3</v>
      </c>
      <c r="F10" s="49" t="inlineStr">
        <is>
          <t>Not Started</t>
        </is>
      </c>
      <c r="G10" s="52" t="inlineStr">
        <is>
          <t>Byte size is limited (10MB) but image pixel dimensions are not validated (no pixel-flood check).</t>
        </is>
      </c>
      <c r="H10" s="52" t="n"/>
    </row>
    <row r="11" ht="18" customHeight="1" s="28">
      <c r="A11" s="44" t="inlineStr">
        <is>
          <t>V5.3</t>
        </is>
      </c>
      <c r="B11" s="44" t="inlineStr">
        <is>
          <t>File Storage</t>
        </is>
      </c>
      <c r="C11" s="44" t="n"/>
      <c r="D11" s="44" t="n"/>
      <c r="E11" s="44" t="n"/>
      <c r="F11" s="44" t="n"/>
      <c r="G11" s="44" t="n"/>
      <c r="H11" s="44" t="n"/>
    </row>
    <row r="12" ht="30" customHeight="1" s="28">
      <c r="A12" s="45" t="inlineStr">
        <is>
          <t>V5.3</t>
        </is>
      </c>
      <c r="B12" s="45" t="inlineStr">
        <is>
          <t>File Storage</t>
        </is>
      </c>
      <c r="C12" s="46" t="inlineStr">
        <is>
          <t>V5.3.1</t>
        </is>
      </c>
      <c r="D12" s="47" t="inlineStr">
        <is>
          <t>Verify that files uploaded or generated by untrusted input and stored in a public folder, are not executed as server-side program code when accessed directly with an HTTP request.</t>
        </is>
      </c>
      <c r="E12" s="53" t="n">
        <v>1</v>
      </c>
      <c r="F12" s="49" t="inlineStr">
        <is>
          <t>Compliant</t>
        </is>
      </c>
      <c r="G12" s="47" t="inlineStr">
        <is>
          <t>Uploads are stored in a non-web-root uploads dir and served via FileResponse with fixed media types; nginx does not execute them.</t>
        </is>
      </c>
      <c r="H12" s="47" t="n"/>
    </row>
    <row r="13" ht="30" customHeight="1" s="28">
      <c r="A13" s="50" t="inlineStr">
        <is>
          <t>V5.3</t>
        </is>
      </c>
      <c r="B13" s="50" t="inlineStr">
        <is>
          <t>File Storage</t>
        </is>
      </c>
      <c r="C13" s="51" t="inlineStr">
        <is>
          <t>V5.3.2</t>
        </is>
      </c>
      <c r="D13" s="52"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53" t="n">
        <v>1</v>
      </c>
      <c r="F13" s="49" t="inlineStr">
        <is>
          <t>Compliant</t>
        </is>
      </c>
      <c r="G13" s="52" t="inlineStr">
        <is>
          <t>Server-generated UUID filenames; path-traversal/null-byte/symlink rejection; original filename sanitized (SR-INPUT-04, SR-DATA-01).</t>
        </is>
      </c>
      <c r="H13" s="52" t="n"/>
    </row>
    <row r="14" ht="30" customHeight="1" s="28">
      <c r="A14" s="45" t="inlineStr">
        <is>
          <t>V5.3</t>
        </is>
      </c>
      <c r="B14" s="45" t="inlineStr">
        <is>
          <t>File Storage</t>
        </is>
      </c>
      <c r="C14" s="46" t="inlineStr">
        <is>
          <t>V5.3.3</t>
        </is>
      </c>
      <c r="D14" s="47" t="inlineStr">
        <is>
          <t>Verify that server-side file processing, such as file decompression, ignores user-provided path information to prevent vulnerabilities such as zip slip.</t>
        </is>
      </c>
      <c r="E14" s="54" t="n">
        <v>3</v>
      </c>
      <c r="F14" s="49" t="inlineStr">
        <is>
          <t>Not Applicable</t>
        </is>
      </c>
      <c r="G14" s="47" t="inlineStr">
        <is>
          <t>No server-side decompression (no zip-slip surface).</t>
        </is>
      </c>
      <c r="H14" s="47" t="n"/>
    </row>
    <row r="15" ht="18" customHeight="1" s="28">
      <c r="A15" s="44" t="inlineStr">
        <is>
          <t>V5.4</t>
        </is>
      </c>
      <c r="B15" s="44" t="inlineStr">
        <is>
          <t>File Download</t>
        </is>
      </c>
      <c r="C15" s="44" t="n"/>
      <c r="D15" s="44" t="n"/>
      <c r="E15" s="44" t="n"/>
      <c r="F15" s="44" t="n"/>
      <c r="G15" s="44" t="n"/>
      <c r="H15" s="44" t="n"/>
    </row>
    <row r="16" ht="30" customHeight="1" s="28">
      <c r="A16" s="45" t="inlineStr">
        <is>
          <t>V5.4</t>
        </is>
      </c>
      <c r="B16" s="45" t="inlineStr">
        <is>
          <t>File Download</t>
        </is>
      </c>
      <c r="C16" s="46" t="inlineStr">
        <is>
          <t>V5.4.1</t>
        </is>
      </c>
      <c r="D16" s="47" t="inlineStr">
        <is>
          <t>Verify that the application validates or ignores user-submitted filenames, including in a JSON, JSONP, or URL parameter and specifies a filename in the Content-Disposition header field in the response.</t>
        </is>
      </c>
      <c r="E16" s="48" t="n">
        <v>2</v>
      </c>
      <c r="F16" s="49" t="inlineStr">
        <is>
          <t>Compliant</t>
        </is>
      </c>
      <c r="G16" s="47" t="inlineStr">
        <is>
          <t>Served names are server-generated UUIDs; image paths are validated (build_safe_path); invoice downloads set Content-Disposition with a filename.</t>
        </is>
      </c>
      <c r="H16" s="47" t="n"/>
    </row>
    <row r="17" ht="30" customHeight="1" s="28">
      <c r="A17" s="50" t="inlineStr">
        <is>
          <t>V5.4</t>
        </is>
      </c>
      <c r="B17" s="50" t="inlineStr">
        <is>
          <t>File Download</t>
        </is>
      </c>
      <c r="C17" s="51" t="inlineStr">
        <is>
          <t>V5.4.2</t>
        </is>
      </c>
      <c r="D17" s="52" t="inlineStr">
        <is>
          <t>Verify that file names served (e.g., in HTTP response header fields or email attachments) are encoded or sanitized (e.g., following RFC 6266) to preserve document structure and prevent injection attacks.</t>
        </is>
      </c>
      <c r="E17" s="48" t="n">
        <v>2</v>
      </c>
      <c r="F17" s="49" t="inlineStr">
        <is>
          <t>Compliant</t>
        </is>
      </c>
      <c r="G17" s="52" t="inlineStr">
        <is>
          <t>Served filenames are UUID-based and safe; no untrusted filename is reflected in headers.</t>
        </is>
      </c>
      <c r="H17" s="52" t="n"/>
    </row>
    <row r="18" ht="30" customHeight="1" s="28">
      <c r="A18" s="45" t="inlineStr">
        <is>
          <t>V5.4</t>
        </is>
      </c>
      <c r="B18" s="45" t="inlineStr">
        <is>
          <t>File Download</t>
        </is>
      </c>
      <c r="C18" s="46" t="inlineStr">
        <is>
          <t>V5.4.3</t>
        </is>
      </c>
      <c r="D18" s="47" t="inlineStr">
        <is>
          <t>Verify that files obtained from untrusted sources are scanned by antivirus scanners to prevent serving of known malicious content.</t>
        </is>
      </c>
      <c r="E18" s="48" t="n">
        <v>2</v>
      </c>
      <c r="F18" s="49" t="inlineStr">
        <is>
          <t>Not Started</t>
        </is>
      </c>
      <c r="G18" s="47" t="inlineStr">
        <is>
          <t>Magic-byte validation is performed, but uploads are not scanned by antivirus.</t>
        </is>
      </c>
      <c r="H18" s="47" t="n"/>
    </row>
  </sheetData>
  <conditionalFormatting sqref="F2:F18">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18"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56"/>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V6.1</t>
        </is>
      </c>
      <c r="B2" s="44" t="inlineStr">
        <is>
          <t>Authentication Documentation</t>
        </is>
      </c>
      <c r="C2" s="44" t="n"/>
      <c r="D2" s="44" t="n"/>
      <c r="E2" s="44" t="n"/>
      <c r="F2" s="44" t="n"/>
      <c r="G2" s="44" t="n"/>
      <c r="H2" s="44" t="n"/>
    </row>
    <row r="3" ht="30" customHeight="1" s="28">
      <c r="A3" s="45" t="inlineStr">
        <is>
          <t>V6.1</t>
        </is>
      </c>
      <c r="B3" s="45" t="inlineStr">
        <is>
          <t>Authentication Documentation</t>
        </is>
      </c>
      <c r="C3" s="46" t="inlineStr">
        <is>
          <t>V6.1.1</t>
        </is>
      </c>
      <c r="D3" s="47"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53" t="n">
        <v>1</v>
      </c>
      <c r="F3" s="49" t="inlineStr">
        <is>
          <t>In Progress</t>
        </is>
      </c>
      <c r="G3" s="47" t="inlineStr">
        <is>
          <t>SR-AUTH-07, SR-AUTH-09, NFR-04: Account lockout (5 failures -&gt; 30-min lock) implemented and documented. IP rate limiting is documented as a requirement but the middleware is not yet implemented.</t>
        </is>
      </c>
      <c r="H3" s="47" t="n"/>
    </row>
    <row r="4" ht="30" customHeight="1" s="28">
      <c r="A4" s="50" t="inlineStr">
        <is>
          <t>V6.1</t>
        </is>
      </c>
      <c r="B4" s="50" t="inlineStr">
        <is>
          <t>Authentication Documentation</t>
        </is>
      </c>
      <c r="C4" s="51" t="inlineStr">
        <is>
          <t>V6.1.2</t>
        </is>
      </c>
      <c r="D4" s="52" t="inlineStr">
        <is>
          <t>Verify that a list of context-specific words is documented in order to prevent their use in passwords. The list could include permutations of organization names, product names, system identifiers, project codenames, department or role names, and similar.</t>
        </is>
      </c>
      <c r="E4" s="48" t="n">
        <v>2</v>
      </c>
      <c r="F4" s="49" t="inlineStr">
        <is>
          <t>Not Applicable</t>
        </is>
      </c>
      <c r="G4" s="52" t="inlineStr">
        <is>
          <t>Context-specific password word list not implemented.</t>
        </is>
      </c>
      <c r="H4" s="52" t="n"/>
    </row>
    <row r="5" ht="30" customHeight="1" s="28">
      <c r="A5" s="45" t="inlineStr">
        <is>
          <t>V6.1</t>
        </is>
      </c>
      <c r="B5" s="45" t="inlineStr">
        <is>
          <t>Authentication Documentation</t>
        </is>
      </c>
      <c r="C5" s="46" t="inlineStr">
        <is>
          <t>V6.1.3</t>
        </is>
      </c>
      <c r="D5" s="47" t="inlineStr">
        <is>
          <t>Verify that, if the application includes multiple authentication pathways, these are all documented together with the security controls and authentication strength which must be consistently enforced across them.</t>
        </is>
      </c>
      <c r="E5" s="48" t="n">
        <v>2</v>
      </c>
      <c r="F5" s="49" t="inlineStr">
        <is>
          <t>Compliant</t>
        </is>
      </c>
      <c r="G5" s="47" t="inlineStr">
        <is>
          <t>Single authentication pathway (email + password + JWT) documented in architecture.</t>
        </is>
      </c>
      <c r="H5" s="47" t="n"/>
    </row>
    <row r="6" ht="18" customHeight="1" s="28">
      <c r="A6" s="44" t="inlineStr">
        <is>
          <t>V6.2</t>
        </is>
      </c>
      <c r="B6" s="44" t="inlineStr">
        <is>
          <t>Password Security</t>
        </is>
      </c>
      <c r="C6" s="44" t="n"/>
      <c r="D6" s="44" t="n"/>
      <c r="E6" s="44" t="n"/>
      <c r="F6" s="44" t="n"/>
      <c r="G6" s="44" t="n"/>
      <c r="H6" s="44" t="n"/>
    </row>
    <row r="7" ht="30" customHeight="1" s="28">
      <c r="A7" s="45" t="inlineStr">
        <is>
          <t>V6.2</t>
        </is>
      </c>
      <c r="B7" s="45" t="inlineStr">
        <is>
          <t>Password Security</t>
        </is>
      </c>
      <c r="C7" s="46" t="inlineStr">
        <is>
          <t>V6.2.1</t>
        </is>
      </c>
      <c r="D7" s="47" t="inlineStr">
        <is>
          <t>Verify that user set passwords are at least 8 characters in length although a minimum of 15 characters is strongly recommended.</t>
        </is>
      </c>
      <c r="E7" s="53" t="n">
        <v>1</v>
      </c>
      <c r="F7" s="49" t="inlineStr">
        <is>
          <t>Compliant</t>
        </is>
      </c>
      <c r="G7" s="47" t="inlineStr">
        <is>
          <t>SR-AUTH-03: Minimum 12 characters enforced (exceeds 8-character minimum).</t>
        </is>
      </c>
      <c r="H7" s="47" t="n"/>
    </row>
    <row r="8" ht="30" customHeight="1" s="28">
      <c r="A8" s="50" t="inlineStr">
        <is>
          <t>V6.2</t>
        </is>
      </c>
      <c r="B8" s="50" t="inlineStr">
        <is>
          <t>Password Security</t>
        </is>
      </c>
      <c r="C8" s="51" t="inlineStr">
        <is>
          <t>V6.2.2</t>
        </is>
      </c>
      <c r="D8" s="52" t="inlineStr">
        <is>
          <t>Verify that users can change their password.</t>
        </is>
      </c>
      <c r="E8" s="53" t="n">
        <v>1</v>
      </c>
      <c r="F8" s="49" t="inlineStr">
        <is>
          <t>Compliant</t>
        </is>
      </c>
      <c r="G8" s="52" t="inlineStr">
        <is>
          <t>FR-AC-06: Users can reset/change their password.</t>
        </is>
      </c>
      <c r="H8" s="52" t="n"/>
    </row>
    <row r="9" ht="30" customHeight="1" s="28">
      <c r="A9" s="45" t="inlineStr">
        <is>
          <t>V6.2</t>
        </is>
      </c>
      <c r="B9" s="45" t="inlineStr">
        <is>
          <t>Password Security</t>
        </is>
      </c>
      <c r="C9" s="46" t="inlineStr">
        <is>
          <t>V6.2.3</t>
        </is>
      </c>
      <c r="D9" s="47" t="inlineStr">
        <is>
          <t>Verify that password change functionality requires the user's current and new password.</t>
        </is>
      </c>
      <c r="E9" s="53" t="n">
        <v>1</v>
      </c>
      <c r="F9" s="49" t="inlineStr">
        <is>
          <t>In Progress</t>
        </is>
      </c>
      <c r="G9" s="47" t="inlineStr">
        <is>
          <t>Password reset is token-based (FR-AC-06): single-use, time-limited reset tokens. No in-session change-password endpoint requiring the current password is implemented.</t>
        </is>
      </c>
      <c r="H9" s="47" t="n"/>
    </row>
    <row r="10" ht="30" customHeight="1" s="28">
      <c r="A10" s="50" t="inlineStr">
        <is>
          <t>V6.2</t>
        </is>
      </c>
      <c r="B10" s="50" t="inlineStr">
        <is>
          <t>Password Security</t>
        </is>
      </c>
      <c r="C10" s="51" t="inlineStr">
        <is>
          <t>V6.2.4</t>
        </is>
      </c>
      <c r="D10" s="52" t="inlineStr">
        <is>
          <t>Verify that passwords submitted during account registration or password change are checked against an available set of, at least, the top 3000 passwords which match the application's password policy, e.g. minimum length.</t>
        </is>
      </c>
      <c r="E10" s="53" t="n">
        <v>1</v>
      </c>
      <c r="F10" s="49" t="inlineStr">
        <is>
          <t>Compliant</t>
        </is>
      </c>
      <c r="G10" s="52" t="inlineStr">
        <is>
          <t>SR-AUTH-04: Passwords checked against known breached password list.</t>
        </is>
      </c>
      <c r="H10" s="52" t="n"/>
    </row>
    <row r="11" ht="30" customHeight="1" s="28">
      <c r="A11" s="45" t="inlineStr">
        <is>
          <t>V6.2</t>
        </is>
      </c>
      <c r="B11" s="45" t="inlineStr">
        <is>
          <t>Password Security</t>
        </is>
      </c>
      <c r="C11" s="46" t="inlineStr">
        <is>
          <t>V6.2.5</t>
        </is>
      </c>
      <c r="D11" s="47" t="inlineStr">
        <is>
          <t>Verify that passwords of any composition can be used, without rules limiting the type of characters permitted. There must be no requirement for a minimum number of upper or lower case characters, numbers, or special characters.</t>
        </is>
      </c>
      <c r="E11" s="53" t="n">
        <v>1</v>
      </c>
      <c r="F11" s="49" t="inlineStr">
        <is>
          <t>Fail</t>
        </is>
      </c>
      <c r="G11" s="47" t="inlineStr">
        <is>
          <t>SR-AUTH-03 requires uppercase, lowercase, digits, and special characters. ASVS 5.0 prohibits mandatory character type requirements. Design decision conflicts with current standard.</t>
        </is>
      </c>
      <c r="H11" s="47" t="n"/>
    </row>
    <row r="12" ht="30" customHeight="1" s="28">
      <c r="A12" s="50" t="inlineStr">
        <is>
          <t>V6.2</t>
        </is>
      </c>
      <c r="B12" s="50" t="inlineStr">
        <is>
          <t>Password Security</t>
        </is>
      </c>
      <c r="C12" s="51" t="inlineStr">
        <is>
          <t>V6.2.6</t>
        </is>
      </c>
      <c r="D12" s="52" t="inlineStr">
        <is>
          <t>Verify that password input fields use type=password to mask the entry. Applications may allow the user to temporarily view the entire masked password, or the last typed character of the password.</t>
        </is>
      </c>
      <c r="E12" s="53" t="n">
        <v>1</v>
      </c>
      <c r="F12" s="49" t="inlineStr">
        <is>
          <t>Not Applicable</t>
        </is>
      </c>
      <c r="G12" s="52" t="inlineStr">
        <is>
          <t>REST API; no HTML password input fields.</t>
        </is>
      </c>
      <c r="H12" s="52" t="n"/>
    </row>
    <row r="13" ht="30" customHeight="1" s="28">
      <c r="A13" s="45" t="inlineStr">
        <is>
          <t>V6.2</t>
        </is>
      </c>
      <c r="B13" s="45" t="inlineStr">
        <is>
          <t>Password Security</t>
        </is>
      </c>
      <c r="C13" s="46" t="inlineStr">
        <is>
          <t>V6.2.7</t>
        </is>
      </c>
      <c r="D13" s="47" t="inlineStr">
        <is>
          <t>Verify that "paste" functionality, browser password helpers, and external password managers are permitted.</t>
        </is>
      </c>
      <c r="E13" s="53" t="n">
        <v>1</v>
      </c>
      <c r="F13" s="49" t="inlineStr">
        <is>
          <t>Not Applicable</t>
        </is>
      </c>
      <c r="G13" s="47" t="inlineStr">
        <is>
          <t>REST API; paste functionality managed by API clients, not the application.</t>
        </is>
      </c>
      <c r="H13" s="47" t="n"/>
    </row>
    <row r="14" ht="30" customHeight="1" s="28">
      <c r="A14" s="50" t="inlineStr">
        <is>
          <t>V6.2</t>
        </is>
      </c>
      <c r="B14" s="50" t="inlineStr">
        <is>
          <t>Password Security</t>
        </is>
      </c>
      <c r="C14" s="51" t="inlineStr">
        <is>
          <t>V6.2.8</t>
        </is>
      </c>
      <c r="D14" s="52" t="inlineStr">
        <is>
          <t>Verify that the application verifies the user's password exactly as received from the user, without any modifications such as truncation or case transformation.</t>
        </is>
      </c>
      <c r="E14" s="53" t="n">
        <v>1</v>
      </c>
      <c r="F14" s="49" t="inlineStr">
        <is>
          <t>Compliant</t>
        </is>
      </c>
      <c r="G14" s="52" t="inlineStr">
        <is>
          <t>bcrypt receives exact password as submitted; no truncation or transformation applied.</t>
        </is>
      </c>
      <c r="H14" s="52" t="n"/>
    </row>
    <row r="15" ht="30" customHeight="1" s="28">
      <c r="A15" s="45" t="inlineStr">
        <is>
          <t>V6.2</t>
        </is>
      </c>
      <c r="B15" s="45" t="inlineStr">
        <is>
          <t>Password Security</t>
        </is>
      </c>
      <c r="C15" s="46" t="inlineStr">
        <is>
          <t>V6.2.9</t>
        </is>
      </c>
      <c r="D15" s="47" t="inlineStr">
        <is>
          <t>Verify that passwords of at least 64 characters are permitted.</t>
        </is>
      </c>
      <c r="E15" s="48" t="n">
        <v>2</v>
      </c>
      <c r="F15" s="49" t="inlineStr">
        <is>
          <t>Compliant</t>
        </is>
      </c>
      <c r="G15" s="47" t="inlineStr">
        <is>
          <t>bcrypt handles passwords of any length; no upper limit enforced.</t>
        </is>
      </c>
      <c r="H15" s="47" t="n"/>
    </row>
    <row r="16" ht="30" customHeight="1" s="28">
      <c r="A16" s="50" t="inlineStr">
        <is>
          <t>V6.2</t>
        </is>
      </c>
      <c r="B16" s="50" t="inlineStr">
        <is>
          <t>Password Security</t>
        </is>
      </c>
      <c r="C16" s="51" t="inlineStr">
        <is>
          <t>V6.2.10</t>
        </is>
      </c>
      <c r="D16" s="52" t="inlineStr">
        <is>
          <t>Verify that a user's password stays valid until it is discovered to be compromised or the user rotates it. The application must not require periodic credential rotation.</t>
        </is>
      </c>
      <c r="E16" s="48" t="n">
        <v>2</v>
      </c>
      <c r="F16" s="49" t="inlineStr">
        <is>
          <t>Compliant</t>
        </is>
      </c>
      <c r="G16" s="52" t="inlineStr">
        <is>
          <t>No forced periodic rotation; passwords remain valid until compromised or user-changed.</t>
        </is>
      </c>
      <c r="H16" s="52" t="n"/>
    </row>
    <row r="17" ht="30" customHeight="1" s="28">
      <c r="A17" s="45" t="inlineStr">
        <is>
          <t>V6.2</t>
        </is>
      </c>
      <c r="B17" s="45" t="inlineStr">
        <is>
          <t>Password Security</t>
        </is>
      </c>
      <c r="C17" s="46" t="inlineStr">
        <is>
          <t>V6.2.11</t>
        </is>
      </c>
      <c r="D17" s="47" t="inlineStr">
        <is>
          <t>Verify that the documented list of context specific words is used to prevent easy to guess passwords being created.</t>
        </is>
      </c>
      <c r="E17" s="48" t="n">
        <v>2</v>
      </c>
      <c r="F17" s="49" t="inlineStr">
        <is>
          <t>Not Applicable</t>
        </is>
      </c>
      <c r="G17" s="47" t="inlineStr">
        <is>
          <t>Context-specific password list not implemented.</t>
        </is>
      </c>
      <c r="H17" s="47" t="n"/>
    </row>
    <row r="18" ht="30" customHeight="1" s="28">
      <c r="A18" s="50" t="inlineStr">
        <is>
          <t>V6.2</t>
        </is>
      </c>
      <c r="B18" s="50" t="inlineStr">
        <is>
          <t>Password Security</t>
        </is>
      </c>
      <c r="C18" s="51" t="inlineStr">
        <is>
          <t>V6.2.12</t>
        </is>
      </c>
      <c r="D18" s="52" t="inlineStr">
        <is>
          <t>Verify that passwords submitted during account registration or password changes are checked against a set of breached passwords.</t>
        </is>
      </c>
      <c r="E18" s="48" t="n">
        <v>2</v>
      </c>
      <c r="F18" s="49" t="inlineStr">
        <is>
          <t>Compliant</t>
        </is>
      </c>
      <c r="G18" s="52" t="inlineStr">
        <is>
          <t>SR-AUTH-04: Breached password check implemented on registration and password change.</t>
        </is>
      </c>
      <c r="H18" s="52" t="n"/>
    </row>
    <row r="19" ht="18" customHeight="1" s="28">
      <c r="A19" s="44" t="inlineStr">
        <is>
          <t>V6.3</t>
        </is>
      </c>
      <c r="B19" s="44" t="inlineStr">
        <is>
          <t>General Authentication Security</t>
        </is>
      </c>
      <c r="C19" s="44" t="n"/>
      <c r="D19" s="44" t="n"/>
      <c r="E19" s="44" t="n"/>
      <c r="F19" s="44" t="n"/>
      <c r="G19" s="44" t="n"/>
      <c r="H19" s="44" t="n"/>
    </row>
    <row r="20" ht="30" customHeight="1" s="28">
      <c r="A20" s="45" t="inlineStr">
        <is>
          <t>V6.3</t>
        </is>
      </c>
      <c r="B20" s="45" t="inlineStr">
        <is>
          <t>General Authentication Security</t>
        </is>
      </c>
      <c r="C20" s="46" t="inlineStr">
        <is>
          <t>V6.3.1</t>
        </is>
      </c>
      <c r="D20" s="47" t="inlineStr">
        <is>
          <t>Verify that controls to prevent attacks such as credential stuffing and password brute force are implemented according to the application's security documentation.</t>
        </is>
      </c>
      <c r="E20" s="53" t="n">
        <v>1</v>
      </c>
      <c r="F20" s="49" t="inlineStr">
        <is>
          <t>In Progress</t>
        </is>
      </c>
      <c r="G20" s="47" t="inlineStr">
        <is>
          <t>SR-AUTH-07, SR-AUTH-09: Account lockout after 5 failed attempts (30-min lock) implemented and verified (MST-01). IP-based rate limiting pending (middleware not yet implemented).</t>
        </is>
      </c>
      <c r="H20" s="47" t="n"/>
    </row>
    <row r="21" ht="30" customHeight="1" s="28">
      <c r="A21" s="50" t="inlineStr">
        <is>
          <t>V6.3</t>
        </is>
      </c>
      <c r="B21" s="50" t="inlineStr">
        <is>
          <t>General Authentication Security</t>
        </is>
      </c>
      <c r="C21" s="51" t="inlineStr">
        <is>
          <t>V6.3.2</t>
        </is>
      </c>
      <c r="D21" s="52" t="inlineStr">
        <is>
          <t>Verify that default user accounts (e.g., "root", "admin", or "sa") are not present in the application or are disabled.</t>
        </is>
      </c>
      <c r="E21" s="53" t="n">
        <v>1</v>
      </c>
      <c r="F21" s="49" t="inlineStr">
        <is>
          <t>Compliant</t>
        </is>
      </c>
      <c r="G21" s="52" t="inlineStr">
        <is>
          <t>No default accounts in SecureMarket; all accounts require explicit registration.</t>
        </is>
      </c>
      <c r="H21" s="52" t="n"/>
    </row>
    <row r="22" ht="30" customHeight="1" s="28">
      <c r="A22" s="45" t="inlineStr">
        <is>
          <t>V6.3</t>
        </is>
      </c>
      <c r="B22" s="45" t="inlineStr">
        <is>
          <t>General Authentication Security</t>
        </is>
      </c>
      <c r="C22" s="46" t="inlineStr">
        <is>
          <t>V6.3.3</t>
        </is>
      </c>
      <c r="D22" s="47"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48" t="n">
        <v>2</v>
      </c>
      <c r="F22" s="49" t="inlineStr">
        <is>
          <t>Not Applicable</t>
        </is>
      </c>
      <c r="G22" s="47" t="inlineStr">
        <is>
          <t>MFA not implemented in Phase 1; documented as single-factor with compensating controls.</t>
        </is>
      </c>
      <c r="H22" s="47" t="n"/>
    </row>
    <row r="23" ht="30" customHeight="1" s="28">
      <c r="A23" s="50" t="inlineStr">
        <is>
          <t>V6.3</t>
        </is>
      </c>
      <c r="B23" s="50" t="inlineStr">
        <is>
          <t>General Authentication Security</t>
        </is>
      </c>
      <c r="C23" s="51" t="inlineStr">
        <is>
          <t>V6.3.4</t>
        </is>
      </c>
      <c r="D23" s="52" t="inlineStr">
        <is>
          <t>Verify that, if the application includes multiple authentication pathways, there are no undocumented pathways and that security controls and authentication strength are enforced consistently.</t>
        </is>
      </c>
      <c r="E23" s="48" t="n">
        <v>2</v>
      </c>
      <c r="F23" s="49" t="inlineStr">
        <is>
          <t>Compliant</t>
        </is>
      </c>
      <c r="G23" s="52" t="inlineStr">
        <is>
          <t>Single documented authentication pathway; no undocumented alternatives.</t>
        </is>
      </c>
      <c r="H23" s="52" t="n"/>
    </row>
    <row r="24" ht="30" customHeight="1" s="28">
      <c r="A24" s="45" t="inlineStr">
        <is>
          <t>V6.3</t>
        </is>
      </c>
      <c r="B24" s="45" t="inlineStr">
        <is>
          <t>General Authentication Security</t>
        </is>
      </c>
      <c r="C24" s="46" t="inlineStr">
        <is>
          <t>V6.3.5</t>
        </is>
      </c>
      <c r="D24" s="47"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54" t="n">
        <v>3</v>
      </c>
      <c r="F24" s="49" t="inlineStr">
        <is>
          <t>Not Applicable</t>
        </is>
      </c>
      <c r="G24" s="47" t="inlineStr">
        <is>
          <t>Suspicious authentication notifications not implemented.</t>
        </is>
      </c>
      <c r="H24" s="47" t="n"/>
    </row>
    <row r="25" ht="30" customHeight="1" s="28">
      <c r="A25" s="50" t="inlineStr">
        <is>
          <t>V6.3</t>
        </is>
      </c>
      <c r="B25" s="50" t="inlineStr">
        <is>
          <t>General Authentication Security</t>
        </is>
      </c>
      <c r="C25" s="51" t="inlineStr">
        <is>
          <t>V6.3.6</t>
        </is>
      </c>
      <c r="D25" s="52" t="inlineStr">
        <is>
          <t>Verify that email is not used as either a single-factor or multi-factor authentication mechanism.</t>
        </is>
      </c>
      <c r="E25" s="54" t="n">
        <v>3</v>
      </c>
      <c r="F25" s="49" t="inlineStr">
        <is>
          <t>Compliant</t>
        </is>
      </c>
      <c r="G25" s="52" t="inlineStr">
        <is>
          <t>Email used as username/identifier only; password is the authentication factor.</t>
        </is>
      </c>
      <c r="H25" s="52" t="n"/>
    </row>
    <row r="26" ht="30" customHeight="1" s="28">
      <c r="A26" s="45" t="inlineStr">
        <is>
          <t>V6.3</t>
        </is>
      </c>
      <c r="B26" s="45" t="inlineStr">
        <is>
          <t>General Authentication Security</t>
        </is>
      </c>
      <c r="C26" s="46" t="inlineStr">
        <is>
          <t>V6.3.7</t>
        </is>
      </c>
      <c r="D26" s="47" t="inlineStr">
        <is>
          <t>Verify that users are notified after updates to authentication details, such as credential resets or modification of the username or email address.</t>
        </is>
      </c>
      <c r="E26" s="54" t="n">
        <v>3</v>
      </c>
      <c r="F26" s="49" t="inlineStr">
        <is>
          <t>Not Applicable</t>
        </is>
      </c>
      <c r="G26" s="47" t="inlineStr">
        <is>
          <t>User notification on authentication detail updates not implemented in Phase 1.</t>
        </is>
      </c>
      <c r="H26" s="47" t="n"/>
    </row>
    <row r="27" ht="30" customHeight="1" s="28">
      <c r="A27" s="50" t="inlineStr">
        <is>
          <t>V6.3</t>
        </is>
      </c>
      <c r="B27" s="50" t="inlineStr">
        <is>
          <t>General Authentication Security</t>
        </is>
      </c>
      <c r="C27" s="51" t="inlineStr">
        <is>
          <t>V6.3.8</t>
        </is>
      </c>
      <c r="D27" s="52" t="inlineStr">
        <is>
          <t>Verify that valid users cannot be deduced from failed authentication challenges, such as by basing on error messages, HTTP response codes, or different response times. Registration and forgot password functionality must also have this protection.</t>
        </is>
      </c>
      <c r="E27" s="54" t="n">
        <v>3</v>
      </c>
      <c r="F27" s="49" t="inlineStr">
        <is>
          <t>Compliant</t>
        </is>
      </c>
      <c r="G27" s="52" t="inlineStr">
        <is>
          <t>bcrypt.checkpw() is constant-time; generic error messages returned regardless of failure reason.</t>
        </is>
      </c>
      <c r="H27" s="52" t="n"/>
    </row>
    <row r="28" ht="18" customHeight="1" s="28">
      <c r="A28" s="44" t="inlineStr">
        <is>
          <t>V6.4</t>
        </is>
      </c>
      <c r="B28" s="44" t="inlineStr">
        <is>
          <t>Authentication Factor Lifecycle and Recovery</t>
        </is>
      </c>
      <c r="C28" s="44" t="n"/>
      <c r="D28" s="44" t="n"/>
      <c r="E28" s="44" t="n"/>
      <c r="F28" s="44" t="n"/>
      <c r="G28" s="44" t="n"/>
      <c r="H28" s="44" t="n"/>
    </row>
    <row r="29" ht="30" customHeight="1" s="28">
      <c r="A29" s="45" t="inlineStr">
        <is>
          <t>V6.4</t>
        </is>
      </c>
      <c r="B29" s="45" t="inlineStr">
        <is>
          <t>Authentication Factor Lifecycle and Recovery</t>
        </is>
      </c>
      <c r="C29" s="46" t="inlineStr">
        <is>
          <t>V6.4.1</t>
        </is>
      </c>
      <c r="D29" s="47"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53" t="n">
        <v>1</v>
      </c>
      <c r="F29" s="49" t="inlineStr">
        <is>
          <t>Compliant</t>
        </is>
      </c>
      <c r="G29" s="47" t="inlineStr">
        <is>
          <t>FR-AC-06: Password reset tokens are time-limited and single-use.</t>
        </is>
      </c>
      <c r="H29" s="47" t="n"/>
    </row>
    <row r="30" ht="30" customHeight="1" s="28">
      <c r="A30" s="50" t="inlineStr">
        <is>
          <t>V6.4</t>
        </is>
      </c>
      <c r="B30" s="50" t="inlineStr">
        <is>
          <t>Authentication Factor Lifecycle and Recovery</t>
        </is>
      </c>
      <c r="C30" s="51" t="inlineStr">
        <is>
          <t>V6.4.2</t>
        </is>
      </c>
      <c r="D30" s="52" t="inlineStr">
        <is>
          <t>Verify that password hints or knowledge-based authentication (so-called "secret questions") are not present.</t>
        </is>
      </c>
      <c r="E30" s="53" t="n">
        <v>1</v>
      </c>
      <c r="F30" s="49" t="inlineStr">
        <is>
          <t>Compliant</t>
        </is>
      </c>
      <c r="G30" s="52" t="inlineStr">
        <is>
          <t>No security questions or knowledge-based authentication implemented.</t>
        </is>
      </c>
      <c r="H30" s="52" t="n"/>
    </row>
    <row r="31" ht="30" customHeight="1" s="28">
      <c r="A31" s="45" t="inlineStr">
        <is>
          <t>V6.4</t>
        </is>
      </c>
      <c r="B31" s="45" t="inlineStr">
        <is>
          <t>Authentication Factor Lifecycle and Recovery</t>
        </is>
      </c>
      <c r="C31" s="46" t="inlineStr">
        <is>
          <t>V6.4.3</t>
        </is>
      </c>
      <c r="D31" s="47" t="inlineStr">
        <is>
          <t>Verify that a secure process for resetting a forgotten password is implemented, that does not bypass any enabled multi-factor authentication mechanisms.</t>
        </is>
      </c>
      <c r="E31" s="48" t="n">
        <v>2</v>
      </c>
      <c r="F31" s="49" t="inlineStr">
        <is>
          <t>Compliant</t>
        </is>
      </c>
      <c r="G31" s="47" t="inlineStr">
        <is>
          <t>FR-AC-06: Secure password reset process implemented; does not bypass authentication controls.</t>
        </is>
      </c>
      <c r="H31" s="47" t="n"/>
    </row>
    <row r="32" ht="30" customHeight="1" s="28">
      <c r="A32" s="50" t="inlineStr">
        <is>
          <t>V6.4</t>
        </is>
      </c>
      <c r="B32" s="50" t="inlineStr">
        <is>
          <t>Authentication Factor Lifecycle and Recovery</t>
        </is>
      </c>
      <c r="C32" s="51" t="inlineStr">
        <is>
          <t>V6.4.4</t>
        </is>
      </c>
      <c r="D32" s="52" t="inlineStr">
        <is>
          <t>Verify that if a multi-factor authentication factor is lost, evidence of identity proofing is performed at the same level as during enrollment.</t>
        </is>
      </c>
      <c r="E32" s="48" t="n">
        <v>2</v>
      </c>
      <c r="F32" s="49" t="inlineStr">
        <is>
          <t>Not Applicable</t>
        </is>
      </c>
      <c r="G32" s="52" t="inlineStr">
        <is>
          <t>No MFA implemented.</t>
        </is>
      </c>
      <c r="H32" s="52" t="n"/>
    </row>
    <row r="33" ht="30" customHeight="1" s="28">
      <c r="A33" s="45" t="inlineStr">
        <is>
          <t>V6.4</t>
        </is>
      </c>
      <c r="B33" s="45" t="inlineStr">
        <is>
          <t>Authentication Factor Lifecycle and Recovery</t>
        </is>
      </c>
      <c r="C33" s="46" t="inlineStr">
        <is>
          <t>V6.4.5</t>
        </is>
      </c>
      <c r="D33" s="47" t="inlineStr">
        <is>
          <t>Verify that renewal instructions for authentication mechanisms which expire are sent with enough time to be carried out before the old authentication mechanism expires, configuring automated reminders if necessary.</t>
        </is>
      </c>
      <c r="E33" s="54" t="n">
        <v>3</v>
      </c>
      <c r="F33" s="49" t="inlineStr">
        <is>
          <t>Not Applicable</t>
        </is>
      </c>
      <c r="G33" s="47" t="inlineStr">
        <is>
          <t>No expiring authentication mechanisms that require renewal reminders.</t>
        </is>
      </c>
      <c r="H33" s="47" t="n"/>
    </row>
    <row r="34" ht="30" customHeight="1" s="28">
      <c r="A34" s="50" t="inlineStr">
        <is>
          <t>V6.4</t>
        </is>
      </c>
      <c r="B34" s="50" t="inlineStr">
        <is>
          <t>Authentication Factor Lifecycle and Recovery</t>
        </is>
      </c>
      <c r="C34" s="51" t="inlineStr">
        <is>
          <t>V6.4.6</t>
        </is>
      </c>
      <c r="D34" s="52" t="inlineStr">
        <is>
          <t>Verify that administrative users can initiate the password reset process for the user, but that this does not allow them to change or choose the user's password. This prevents a situation where they know the user's password.</t>
        </is>
      </c>
      <c r="E34" s="54" t="n">
        <v>3</v>
      </c>
      <c r="F34" s="49" t="inlineStr">
        <is>
          <t>In Progress</t>
        </is>
      </c>
      <c r="G34" s="52" t="inlineStr">
        <is>
          <t>Admins cannot set user passwords directly (good). Admin-initiated reset flow is not yet implemented.</t>
        </is>
      </c>
      <c r="H34" s="52" t="n"/>
    </row>
    <row r="35" ht="18" customHeight="1" s="28">
      <c r="A35" s="44" t="inlineStr">
        <is>
          <t>V6.5</t>
        </is>
      </c>
      <c r="B35" s="44" t="inlineStr">
        <is>
          <t>General Multi-factor authentication requirements</t>
        </is>
      </c>
      <c r="C35" s="44" t="n"/>
      <c r="D35" s="44" t="n"/>
      <c r="E35" s="44" t="n"/>
      <c r="F35" s="44" t="n"/>
      <c r="G35" s="44" t="n"/>
      <c r="H35" s="44" t="n"/>
    </row>
    <row r="36" ht="30" customHeight="1" s="28">
      <c r="A36" s="45" t="inlineStr">
        <is>
          <t>V6.5</t>
        </is>
      </c>
      <c r="B36" s="45" t="inlineStr">
        <is>
          <t>General Multi-factor authentication requirements</t>
        </is>
      </c>
      <c r="C36" s="46" t="inlineStr">
        <is>
          <t>V6.5.1</t>
        </is>
      </c>
      <c r="D36" s="47" t="inlineStr">
        <is>
          <t>Verify that lookup secrets, out-of-band authentication requests or codes, and time-based one-time passwords (TOTPs) are only successfully usable once.</t>
        </is>
      </c>
      <c r="E36" s="48" t="n">
        <v>2</v>
      </c>
      <c r="F36" s="49" t="inlineStr">
        <is>
          <t>Not Applicable</t>
        </is>
      </c>
      <c r="G36" s="47" t="inlineStr">
        <is>
          <t>No MFA lookup secrets or TOTP implemented.</t>
        </is>
      </c>
      <c r="H36" s="47" t="n"/>
    </row>
    <row r="37" ht="30" customHeight="1" s="28">
      <c r="A37" s="50" t="inlineStr">
        <is>
          <t>V6.5</t>
        </is>
      </c>
      <c r="B37" s="50" t="inlineStr">
        <is>
          <t>General Multi-factor authentication requirements</t>
        </is>
      </c>
      <c r="C37" s="51" t="inlineStr">
        <is>
          <t>V6.5.2</t>
        </is>
      </c>
      <c r="D37" s="52"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48" t="n">
        <v>2</v>
      </c>
      <c r="F37" s="49" t="inlineStr">
        <is>
          <t>Not Applicable</t>
        </is>
      </c>
      <c r="G37" s="52" t="inlineStr">
        <is>
          <t>No MFA implemented.</t>
        </is>
      </c>
      <c r="H37" s="52" t="n"/>
    </row>
    <row r="38" ht="30" customHeight="1" s="28">
      <c r="A38" s="45" t="inlineStr">
        <is>
          <t>V6.5</t>
        </is>
      </c>
      <c r="B38" s="45" t="inlineStr">
        <is>
          <t>General Multi-factor authentication requirements</t>
        </is>
      </c>
      <c r="C38" s="46" t="inlineStr">
        <is>
          <t>V6.5.3</t>
        </is>
      </c>
      <c r="D38" s="47" t="inlineStr">
        <is>
          <t>Verify that lookup secrets, out-of-band authentication code, and time-based one-time password seeds, are generated using a Cryptographically Secure Pseudorandom Number Generator (CSPRNG) to avoid predictable values.</t>
        </is>
      </c>
      <c r="E38" s="48" t="n">
        <v>2</v>
      </c>
      <c r="F38" s="49" t="inlineStr">
        <is>
          <t>Not Applicable</t>
        </is>
      </c>
      <c r="G38" s="47" t="inlineStr">
        <is>
          <t>No MFA implemented.</t>
        </is>
      </c>
      <c r="H38" s="47" t="n"/>
    </row>
    <row r="39" ht="30" customHeight="1" s="28">
      <c r="A39" s="50" t="inlineStr">
        <is>
          <t>V6.5</t>
        </is>
      </c>
      <c r="B39" s="50" t="inlineStr">
        <is>
          <t>General Multi-factor authentication requirements</t>
        </is>
      </c>
      <c r="C39" s="51" t="inlineStr">
        <is>
          <t>V6.5.4</t>
        </is>
      </c>
      <c r="D39" s="52" t="inlineStr">
        <is>
          <t>Verify that lookup secrets and out-of-band authentication codes have a minimum of 20 bits of entropy (typically 4 random alphanumeric characters or 6 random digits is sufficient).</t>
        </is>
      </c>
      <c r="E39" s="48" t="n">
        <v>2</v>
      </c>
      <c r="F39" s="49" t="inlineStr">
        <is>
          <t>Not Applicable</t>
        </is>
      </c>
      <c r="G39" s="52" t="inlineStr">
        <is>
          <t>No MFA implemented.</t>
        </is>
      </c>
      <c r="H39" s="52" t="n"/>
    </row>
    <row r="40" ht="30" customHeight="1" s="28">
      <c r="A40" s="45" t="inlineStr">
        <is>
          <t>V6.5</t>
        </is>
      </c>
      <c r="B40" s="45" t="inlineStr">
        <is>
          <t>General Multi-factor authentication requirements</t>
        </is>
      </c>
      <c r="C40" s="46" t="inlineStr">
        <is>
          <t>V6.5.5</t>
        </is>
      </c>
      <c r="D40" s="47" t="inlineStr">
        <is>
          <t>Verify that out-of-band authentication requests, codes, or tokens, as well as time-based one-time passwords (TOTPs) have a defined lifetime. Out of band requests must have a maximum lifetime of 10 minutes and for TOTP a maximum lifetime of 30 seconds.</t>
        </is>
      </c>
      <c r="E40" s="48" t="n">
        <v>2</v>
      </c>
      <c r="F40" s="49" t="inlineStr">
        <is>
          <t>Not Applicable</t>
        </is>
      </c>
      <c r="G40" s="47" t="inlineStr">
        <is>
          <t>No MFA implemented.</t>
        </is>
      </c>
      <c r="H40" s="47" t="n"/>
    </row>
    <row r="41" ht="30" customHeight="1" s="28">
      <c r="A41" s="50" t="inlineStr">
        <is>
          <t>V6.5</t>
        </is>
      </c>
      <c r="B41" s="50" t="inlineStr">
        <is>
          <t>General Multi-factor authentication requirements</t>
        </is>
      </c>
      <c r="C41" s="51" t="inlineStr">
        <is>
          <t>V6.5.6</t>
        </is>
      </c>
      <c r="D41" s="52" t="inlineStr">
        <is>
          <t>Verify that any authentication factor (including physical devices) can be revoked in case of theft or other loss.</t>
        </is>
      </c>
      <c r="E41" s="54" t="n">
        <v>3</v>
      </c>
      <c r="F41" s="49" t="inlineStr">
        <is>
          <t>Not Applicable</t>
        </is>
      </c>
      <c r="G41" s="52" t="inlineStr">
        <is>
          <t>No hardware MFA factors implemented.</t>
        </is>
      </c>
      <c r="H41" s="52" t="n"/>
    </row>
    <row r="42" ht="30" customHeight="1" s="28">
      <c r="A42" s="45" t="inlineStr">
        <is>
          <t>V6.5</t>
        </is>
      </c>
      <c r="B42" s="45" t="inlineStr">
        <is>
          <t>General Multi-factor authentication requirements</t>
        </is>
      </c>
      <c r="C42" s="46" t="inlineStr">
        <is>
          <t>V6.5.7</t>
        </is>
      </c>
      <c r="D42" s="47" t="inlineStr">
        <is>
          <t>Verify that biometric authentication mechanisms are only used as secondary factors together with either something you have or something you know.</t>
        </is>
      </c>
      <c r="E42" s="54" t="n">
        <v>3</v>
      </c>
      <c r="F42" s="49" t="inlineStr">
        <is>
          <t>Not Applicable</t>
        </is>
      </c>
      <c r="G42" s="47" t="inlineStr">
        <is>
          <t>No biometric authentication implemented.</t>
        </is>
      </c>
      <c r="H42" s="47" t="n"/>
    </row>
    <row r="43" ht="30" customHeight="1" s="28">
      <c r="A43" s="50" t="inlineStr">
        <is>
          <t>V6.5</t>
        </is>
      </c>
      <c r="B43" s="50" t="inlineStr">
        <is>
          <t>General Multi-factor authentication requirements</t>
        </is>
      </c>
      <c r="C43" s="51" t="inlineStr">
        <is>
          <t>V6.5.8</t>
        </is>
      </c>
      <c r="D43" s="52" t="inlineStr">
        <is>
          <t>Verify that time-based one-time passwords (TOTPs) are checked based on a time source from a trusted service and not from an untrusted or client provided time.</t>
        </is>
      </c>
      <c r="E43" s="54" t="n">
        <v>3</v>
      </c>
      <c r="F43" s="49" t="inlineStr">
        <is>
          <t>Not Applicable</t>
        </is>
      </c>
      <c r="G43" s="52" t="inlineStr">
        <is>
          <t>No TOTP implemented.</t>
        </is>
      </c>
      <c r="H43" s="52" t="n"/>
    </row>
    <row r="44" ht="18" customHeight="1" s="28">
      <c r="A44" s="44" t="inlineStr">
        <is>
          <t>V6.6</t>
        </is>
      </c>
      <c r="B44" s="44" t="inlineStr">
        <is>
          <t>Out-of-Band authentication mechanisms</t>
        </is>
      </c>
      <c r="C44" s="44" t="n"/>
      <c r="D44" s="44" t="n"/>
      <c r="E44" s="44" t="n"/>
      <c r="F44" s="44" t="n"/>
      <c r="G44" s="44" t="n"/>
      <c r="H44" s="44" t="n"/>
    </row>
    <row r="45" ht="30" customHeight="1" s="28">
      <c r="A45" s="45" t="inlineStr">
        <is>
          <t>V6.6</t>
        </is>
      </c>
      <c r="B45" s="45" t="inlineStr">
        <is>
          <t>Out-of-Band authentication mechanisms</t>
        </is>
      </c>
      <c r="C45" s="46" t="inlineStr">
        <is>
          <t>V6.6.1</t>
        </is>
      </c>
      <c r="D45" s="47"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48" t="n">
        <v>2</v>
      </c>
      <c r="F45" s="49" t="inlineStr">
        <is>
          <t>Not Applicable</t>
        </is>
      </c>
      <c r="G45" s="47" t="inlineStr">
        <is>
          <t>No out-of-band authentication (SMS/phone) implemented.</t>
        </is>
      </c>
      <c r="H45" s="47" t="n"/>
    </row>
    <row r="46" ht="30" customHeight="1" s="28">
      <c r="A46" s="50" t="inlineStr">
        <is>
          <t>V6.6</t>
        </is>
      </c>
      <c r="B46" s="50" t="inlineStr">
        <is>
          <t>Out-of-Band authentication mechanisms</t>
        </is>
      </c>
      <c r="C46" s="51" t="inlineStr">
        <is>
          <t>V6.6.2</t>
        </is>
      </c>
      <c r="D46" s="52" t="inlineStr">
        <is>
          <t>Verify that out-of-band authentication requests, codes, or tokens are bound to the original authentication request for which they were generated and are not usable for a previous or subsequent one.</t>
        </is>
      </c>
      <c r="E46" s="48" t="n">
        <v>2</v>
      </c>
      <c r="F46" s="49" t="inlineStr">
        <is>
          <t>Not Applicable</t>
        </is>
      </c>
      <c r="G46" s="52" t="inlineStr">
        <is>
          <t>No out-of-band authentication implemented.</t>
        </is>
      </c>
      <c r="H46" s="52" t="n"/>
    </row>
    <row r="47" ht="30" customHeight="1" s="28">
      <c r="A47" s="45" t="inlineStr">
        <is>
          <t>V6.6</t>
        </is>
      </c>
      <c r="B47" s="45" t="inlineStr">
        <is>
          <t>Out-of-Band authentication mechanisms</t>
        </is>
      </c>
      <c r="C47" s="46" t="inlineStr">
        <is>
          <t>V6.6.3</t>
        </is>
      </c>
      <c r="D47" s="47" t="inlineStr">
        <is>
          <t>Verify that a code based out-of-band authentication mechanism is protected against brute force attacks by using rate limiting. Consider also using a code with at least 64 bits of entropy.</t>
        </is>
      </c>
      <c r="E47" s="48" t="n">
        <v>2</v>
      </c>
      <c r="F47" s="49" t="inlineStr">
        <is>
          <t>Not Applicable</t>
        </is>
      </c>
      <c r="G47" s="47" t="inlineStr">
        <is>
          <t>No out-of-band authentication implemented.</t>
        </is>
      </c>
      <c r="H47" s="47" t="n"/>
    </row>
    <row r="48" ht="30" customHeight="1" s="28">
      <c r="A48" s="50" t="inlineStr">
        <is>
          <t>V6.6</t>
        </is>
      </c>
      <c r="B48" s="50" t="inlineStr">
        <is>
          <t>Out-of-Band authentication mechanisms</t>
        </is>
      </c>
      <c r="C48" s="51" t="inlineStr">
        <is>
          <t>V6.6.4</t>
        </is>
      </c>
      <c r="D48" s="52" t="inlineStr">
        <is>
          <t>Verify that, where push notifications are used for multi-factor authentication, rate limiting is used to prevent push bombing attacks. Number matching may also mitigate this risk.</t>
        </is>
      </c>
      <c r="E48" s="54" t="n">
        <v>3</v>
      </c>
      <c r="F48" s="49" t="inlineStr">
        <is>
          <t>Not Applicable</t>
        </is>
      </c>
      <c r="G48" s="52" t="inlineStr">
        <is>
          <t>No push notification MFA implemented.</t>
        </is>
      </c>
      <c r="H48" s="52" t="n"/>
    </row>
    <row r="49" ht="18" customHeight="1" s="28">
      <c r="A49" s="44" t="inlineStr">
        <is>
          <t>V6.7</t>
        </is>
      </c>
      <c r="B49" s="44" t="inlineStr">
        <is>
          <t>Cryptographic authentication mechanism</t>
        </is>
      </c>
      <c r="C49" s="44" t="n"/>
      <c r="D49" s="44" t="n"/>
      <c r="E49" s="44" t="n"/>
      <c r="F49" s="44" t="n"/>
      <c r="G49" s="44" t="n"/>
      <c r="H49" s="44" t="n"/>
    </row>
    <row r="50" ht="30" customHeight="1" s="28">
      <c r="A50" s="45" t="inlineStr">
        <is>
          <t>V6.7</t>
        </is>
      </c>
      <c r="B50" s="45" t="inlineStr">
        <is>
          <t>Cryptographic authentication mechanism</t>
        </is>
      </c>
      <c r="C50" s="46" t="inlineStr">
        <is>
          <t>V6.7.1</t>
        </is>
      </c>
      <c r="D50" s="47" t="inlineStr">
        <is>
          <t>Verify that the certificates used to verify cryptographic authentication assertions are stored in a way protects them from modification.</t>
        </is>
      </c>
      <c r="E50" s="54" t="n">
        <v>3</v>
      </c>
      <c r="F50" s="49" t="inlineStr">
        <is>
          <t>Not Applicable</t>
        </is>
      </c>
      <c r="G50" s="47" t="inlineStr">
        <is>
          <t>No certificate-based authentication implemented.</t>
        </is>
      </c>
      <c r="H50" s="47" t="n"/>
    </row>
    <row r="51" ht="30" customHeight="1" s="28">
      <c r="A51" s="50" t="inlineStr">
        <is>
          <t>V6.7</t>
        </is>
      </c>
      <c r="B51" s="50" t="inlineStr">
        <is>
          <t>Cryptographic authentication mechanism</t>
        </is>
      </c>
      <c r="C51" s="51" t="inlineStr">
        <is>
          <t>V6.7.2</t>
        </is>
      </c>
      <c r="D51" s="52" t="inlineStr">
        <is>
          <t>Verify that the challenge nonce is at least 64 bits in length, and statistically unique or unique over the lifetime of the cryptographic device.</t>
        </is>
      </c>
      <c r="E51" s="54" t="n">
        <v>3</v>
      </c>
      <c r="F51" s="49" t="inlineStr">
        <is>
          <t>Not Applicable</t>
        </is>
      </c>
      <c r="G51" s="52" t="inlineStr">
        <is>
          <t>No certificate-based authentication implemented.</t>
        </is>
      </c>
      <c r="H51" s="52" t="n"/>
    </row>
    <row r="52" ht="18" customHeight="1" s="28">
      <c r="A52" s="44" t="inlineStr">
        <is>
          <t>V6.8</t>
        </is>
      </c>
      <c r="B52" s="44" t="inlineStr">
        <is>
          <t>Authentication with an Identity Provider</t>
        </is>
      </c>
      <c r="C52" s="44" t="n"/>
      <c r="D52" s="44" t="n"/>
      <c r="E52" s="44" t="n"/>
      <c r="F52" s="44" t="n"/>
      <c r="G52" s="44" t="n"/>
      <c r="H52" s="44" t="n"/>
    </row>
    <row r="53" ht="30" customHeight="1" s="28">
      <c r="A53" s="45" t="inlineStr">
        <is>
          <t>V6.8</t>
        </is>
      </c>
      <c r="B53" s="45" t="inlineStr">
        <is>
          <t>Authentication with an Identity Provider</t>
        </is>
      </c>
      <c r="C53" s="46" t="inlineStr">
        <is>
          <t>V6.8.1</t>
        </is>
      </c>
      <c r="D53" s="47"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48" t="n">
        <v>2</v>
      </c>
      <c r="F53" s="49" t="inlineStr">
        <is>
          <t>Not Applicable</t>
        </is>
      </c>
      <c r="G53" s="47" t="inlineStr">
        <is>
          <t>No external identity providers; custom JWT authentication only.</t>
        </is>
      </c>
      <c r="H53" s="47" t="n"/>
    </row>
    <row r="54" ht="30" customHeight="1" s="28">
      <c r="A54" s="50" t="inlineStr">
        <is>
          <t>V6.8</t>
        </is>
      </c>
      <c r="B54" s="50" t="inlineStr">
        <is>
          <t>Authentication with an Identity Provider</t>
        </is>
      </c>
      <c r="C54" s="51" t="inlineStr">
        <is>
          <t>V6.8.2</t>
        </is>
      </c>
      <c r="D54" s="52" t="inlineStr">
        <is>
          <t>Verify that the presence and integrity of digital signatures on authentication assertions (for example on JWTs or SAML assertions) are always validated, rejecting any assertions that are unsigned or have invalid signatures.</t>
        </is>
      </c>
      <c r="E54" s="48" t="n">
        <v>2</v>
      </c>
      <c r="F54" s="49" t="inlineStr">
        <is>
          <t>Compliant</t>
        </is>
      </c>
      <c r="G54" s="52" t="inlineStr">
        <is>
          <t>SR-AUTH-06: JWT signatures validated using HS256/RS256; unsigned tokens rejected.</t>
        </is>
      </c>
      <c r="H54" s="52" t="n"/>
    </row>
    <row r="55" ht="30" customHeight="1" s="28">
      <c r="A55" s="45" t="inlineStr">
        <is>
          <t>V6.8</t>
        </is>
      </c>
      <c r="B55" s="45" t="inlineStr">
        <is>
          <t>Authentication with an Identity Provider</t>
        </is>
      </c>
      <c r="C55" s="46" t="inlineStr">
        <is>
          <t>V6.8.3</t>
        </is>
      </c>
      <c r="D55" s="47" t="inlineStr">
        <is>
          <t>Verify that SAML assertions are uniquely processed and used only once within the validity period to prevent replay attacks.</t>
        </is>
      </c>
      <c r="E55" s="48" t="n">
        <v>2</v>
      </c>
      <c r="F55" s="49" t="inlineStr">
        <is>
          <t>Not Applicable</t>
        </is>
      </c>
      <c r="G55" s="47" t="inlineStr">
        <is>
          <t>No SAML assertions used.</t>
        </is>
      </c>
      <c r="H55" s="47" t="n"/>
    </row>
    <row r="56" ht="30" customHeight="1" s="28">
      <c r="A56" s="50" t="inlineStr">
        <is>
          <t>V6.8</t>
        </is>
      </c>
      <c r="B56" s="50" t="inlineStr">
        <is>
          <t>Authentication with an Identity Provider</t>
        </is>
      </c>
      <c r="C56" s="51" t="inlineStr">
        <is>
          <t>V6.8.4</t>
        </is>
      </c>
      <c r="D56" s="52"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48" t="n">
        <v>2</v>
      </c>
      <c r="F56" s="49" t="inlineStr">
        <is>
          <t>Not Applicable</t>
        </is>
      </c>
      <c r="G56" s="52" t="inlineStr">
        <is>
          <t>No external IdP integration; custom authentication only.</t>
        </is>
      </c>
      <c r="H56" s="52" t="n"/>
    </row>
  </sheetData>
  <conditionalFormatting sqref="F2:F56">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56"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26"/>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V7.1</t>
        </is>
      </c>
      <c r="B2" s="44" t="inlineStr">
        <is>
          <t>Session Management Documentation</t>
        </is>
      </c>
      <c r="C2" s="44" t="n"/>
      <c r="D2" s="44" t="n"/>
      <c r="E2" s="44" t="n"/>
      <c r="F2" s="44" t="n"/>
      <c r="G2" s="44" t="n"/>
      <c r="H2" s="44" t="n"/>
    </row>
    <row r="3" ht="30" customHeight="1" s="28">
      <c r="A3" s="45" t="inlineStr">
        <is>
          <t>V7.1</t>
        </is>
      </c>
      <c r="B3" s="45" t="inlineStr">
        <is>
          <t>Session Management Documentation</t>
        </is>
      </c>
      <c r="C3" s="46" t="inlineStr">
        <is>
          <t>V7.1.1</t>
        </is>
      </c>
      <c r="D3" s="47"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48" t="n">
        <v>2</v>
      </c>
      <c r="F3" s="49" t="inlineStr">
        <is>
          <t>Compliant</t>
        </is>
      </c>
      <c r="G3" s="47" t="inlineStr">
        <is>
          <t>NFR-05, SR-AUTH-05: Inactivity timeout (30 min) and token lifetimes documented and justified.</t>
        </is>
      </c>
      <c r="H3" s="47" t="n"/>
    </row>
    <row r="4" ht="30" customHeight="1" s="28">
      <c r="A4" s="50" t="inlineStr">
        <is>
          <t>V7.1</t>
        </is>
      </c>
      <c r="B4" s="50" t="inlineStr">
        <is>
          <t>Session Management Documentation</t>
        </is>
      </c>
      <c r="C4" s="51" t="inlineStr">
        <is>
          <t>V7.1.2</t>
        </is>
      </c>
      <c r="D4" s="52" t="inlineStr">
        <is>
          <t>Verify that the documentation defines how many concurrent (parallel) sessions are allowed for one account as well as the intended behaviors and actions to be taken when the maximum number of active sessions is reached.</t>
        </is>
      </c>
      <c r="E4" s="48" t="n">
        <v>2</v>
      </c>
      <c r="F4" s="49" t="inlineStr">
        <is>
          <t>Not Applicable</t>
        </is>
      </c>
      <c r="G4" s="52" t="inlineStr">
        <is>
          <t>Concurrent session limits not defined; unlimited sessions permitted.</t>
        </is>
      </c>
      <c r="H4" s="52" t="n"/>
    </row>
    <row r="5" ht="30" customHeight="1" s="28">
      <c r="A5" s="45" t="inlineStr">
        <is>
          <t>V7.1</t>
        </is>
      </c>
      <c r="B5" s="45" t="inlineStr">
        <is>
          <t>Session Management Documentation</t>
        </is>
      </c>
      <c r="C5" s="46" t="inlineStr">
        <is>
          <t>V7.1.3</t>
        </is>
      </c>
      <c r="D5" s="47"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48" t="n">
        <v>2</v>
      </c>
      <c r="F5" s="49" t="inlineStr">
        <is>
          <t>Not Applicable</t>
        </is>
      </c>
      <c r="G5" s="47" t="inlineStr">
        <is>
          <t>No federated identity management; standalone JWT authentication.</t>
        </is>
      </c>
      <c r="H5" s="47" t="n"/>
    </row>
    <row r="6" ht="18" customHeight="1" s="28">
      <c r="A6" s="44" t="inlineStr">
        <is>
          <t>V7.2</t>
        </is>
      </c>
      <c r="B6" s="44" t="inlineStr">
        <is>
          <t>Fundamental Session Management Security</t>
        </is>
      </c>
      <c r="C6" s="44" t="n"/>
      <c r="D6" s="44" t="n"/>
      <c r="E6" s="44" t="n"/>
      <c r="F6" s="44" t="n"/>
      <c r="G6" s="44" t="n"/>
      <c r="H6" s="44" t="n"/>
    </row>
    <row r="7" ht="30" customHeight="1" s="28">
      <c r="A7" s="45" t="inlineStr">
        <is>
          <t>V7.2</t>
        </is>
      </c>
      <c r="B7" s="45" t="inlineStr">
        <is>
          <t>Fundamental Session Management Security</t>
        </is>
      </c>
      <c r="C7" s="46" t="inlineStr">
        <is>
          <t>V7.2.1</t>
        </is>
      </c>
      <c r="D7" s="47" t="inlineStr">
        <is>
          <t>Verify that the application performs all session token verification using a trusted, backend service.</t>
        </is>
      </c>
      <c r="E7" s="53" t="n">
        <v>1</v>
      </c>
      <c r="F7" s="49" t="inlineStr">
        <is>
          <t>Compliant</t>
        </is>
      </c>
      <c r="G7" s="47" t="inlineStr">
        <is>
          <t>SR-AUTH-06: JWT signature validated server-side on every request via middleware.</t>
        </is>
      </c>
      <c r="H7" s="47" t="n"/>
    </row>
    <row r="8" ht="30" customHeight="1" s="28">
      <c r="A8" s="50" t="inlineStr">
        <is>
          <t>V7.2</t>
        </is>
      </c>
      <c r="B8" s="50" t="inlineStr">
        <is>
          <t>Fundamental Session Management Security</t>
        </is>
      </c>
      <c r="C8" s="51" t="inlineStr">
        <is>
          <t>V7.2.2</t>
        </is>
      </c>
      <c r="D8" s="52" t="inlineStr">
        <is>
          <t>Verify that the application uses either self-contained or reference tokens that are dynamically generated for session management, i.e. not using static API secrets and keys.</t>
        </is>
      </c>
      <c r="E8" s="53" t="n">
        <v>1</v>
      </c>
      <c r="F8" s="49" t="inlineStr">
        <is>
          <t>Compliant</t>
        </is>
      </c>
      <c r="G8" s="52" t="inlineStr">
        <is>
          <t>SR-AUTH-05: Short-lived JWT access tokens and refresh tokens issued; no static API keys.</t>
        </is>
      </c>
      <c r="H8" s="52" t="n"/>
    </row>
    <row r="9" ht="30" customHeight="1" s="28">
      <c r="A9" s="45" t="inlineStr">
        <is>
          <t>V7.2</t>
        </is>
      </c>
      <c r="B9" s="45" t="inlineStr">
        <is>
          <t>Fundamental Session Management Security</t>
        </is>
      </c>
      <c r="C9" s="46" t="inlineStr">
        <is>
          <t>V7.2.3</t>
        </is>
      </c>
      <c r="D9" s="47" t="inlineStr">
        <is>
          <t>Verify that if reference tokens are used to represent user sessions, they are unique and generated using a cryptographically secure pseudo-random number generator (CSPRNG) and possess at least 128 bits of entropy.</t>
        </is>
      </c>
      <c r="E9" s="53" t="n">
        <v>1</v>
      </c>
      <c r="F9" s="49" t="inlineStr">
        <is>
          <t>Compliant</t>
        </is>
      </c>
      <c r="G9" s="47" t="inlineStr">
        <is>
          <t>SR-AUTH-06: 256-bit minimum secret for HS256 ensures token entropy exceeds 128 bits.</t>
        </is>
      </c>
      <c r="H9" s="47" t="n"/>
    </row>
    <row r="10" ht="30" customHeight="1" s="28">
      <c r="A10" s="50" t="inlineStr">
        <is>
          <t>V7.2</t>
        </is>
      </c>
      <c r="B10" s="50" t="inlineStr">
        <is>
          <t>Fundamental Session Management Security</t>
        </is>
      </c>
      <c r="C10" s="51" t="inlineStr">
        <is>
          <t>V7.2.4</t>
        </is>
      </c>
      <c r="D10" s="52" t="inlineStr">
        <is>
          <t>Verify that the application generates a new session token on user authentication, including re-authentication, and terminates the current session token.</t>
        </is>
      </c>
      <c r="E10" s="53" t="n">
        <v>1</v>
      </c>
      <c r="F10" s="49" t="inlineStr">
        <is>
          <t>Compliant</t>
        </is>
      </c>
      <c r="G10" s="52" t="inlineStr">
        <is>
          <t>New JWT tokens issued on each login; previous access tokens expire after 30 minutes.</t>
        </is>
      </c>
      <c r="H10" s="52" t="n"/>
    </row>
    <row r="11" ht="18" customHeight="1" s="28">
      <c r="A11" s="44" t="inlineStr">
        <is>
          <t>V7.3</t>
        </is>
      </c>
      <c r="B11" s="44" t="inlineStr">
        <is>
          <t>Session Timeout</t>
        </is>
      </c>
      <c r="C11" s="44" t="n"/>
      <c r="D11" s="44" t="n"/>
      <c r="E11" s="44" t="n"/>
      <c r="F11" s="44" t="n"/>
      <c r="G11" s="44" t="n"/>
      <c r="H11" s="44" t="n"/>
    </row>
    <row r="12" ht="30" customHeight="1" s="28">
      <c r="A12" s="45" t="inlineStr">
        <is>
          <t>V7.3</t>
        </is>
      </c>
      <c r="B12" s="45" t="inlineStr">
        <is>
          <t>Session Timeout</t>
        </is>
      </c>
      <c r="C12" s="46" t="inlineStr">
        <is>
          <t>V7.3.1</t>
        </is>
      </c>
      <c r="D12" s="47" t="inlineStr">
        <is>
          <t>Verify that there is an inactivity timeout such that re-authentication is enforced according to risk analysis and documented security decisions.</t>
        </is>
      </c>
      <c r="E12" s="48" t="n">
        <v>2</v>
      </c>
      <c r="F12" s="49" t="inlineStr">
        <is>
          <t>Compliant</t>
        </is>
      </c>
      <c r="G12" s="47" t="inlineStr">
        <is>
          <t>NFR-05: Inactivity timeout of 30 minutes enforced via refresh token expiry.</t>
        </is>
      </c>
      <c r="H12" s="47" t="n"/>
    </row>
    <row r="13" ht="30" customHeight="1" s="28">
      <c r="A13" s="50" t="inlineStr">
        <is>
          <t>V7.3</t>
        </is>
      </c>
      <c r="B13" s="50" t="inlineStr">
        <is>
          <t>Session Timeout</t>
        </is>
      </c>
      <c r="C13" s="51" t="inlineStr">
        <is>
          <t>V7.3.2</t>
        </is>
      </c>
      <c r="D13" s="52" t="inlineStr">
        <is>
          <t>Verify that there is an absolute maximum session lifetime such that re-authentication is enforced according to risk analysis and documented security decisions.</t>
        </is>
      </c>
      <c r="E13" s="48" t="n">
        <v>2</v>
      </c>
      <c r="F13" s="49" t="inlineStr">
        <is>
          <t>Compliant</t>
        </is>
      </c>
      <c r="G13" s="52" t="inlineStr">
        <is>
          <t>SR-AUTH-05: Access token maximum 30 minutes; refresh token maximum 7 days.</t>
        </is>
      </c>
      <c r="H13" s="52" t="n"/>
    </row>
    <row r="14" ht="18" customHeight="1" s="28">
      <c r="A14" s="44" t="inlineStr">
        <is>
          <t>V7.4</t>
        </is>
      </c>
      <c r="B14" s="44" t="inlineStr">
        <is>
          <t>Session Termination</t>
        </is>
      </c>
      <c r="C14" s="44" t="n"/>
      <c r="D14" s="44" t="n"/>
      <c r="E14" s="44" t="n"/>
      <c r="F14" s="44" t="n"/>
      <c r="G14" s="44" t="n"/>
      <c r="H14" s="44" t="n"/>
    </row>
    <row r="15" ht="30" customHeight="1" s="28">
      <c r="A15" s="45" t="inlineStr">
        <is>
          <t>V7.4</t>
        </is>
      </c>
      <c r="B15" s="45" t="inlineStr">
        <is>
          <t>Session Termination</t>
        </is>
      </c>
      <c r="C15" s="46" t="inlineStr">
        <is>
          <t>V7.4.1</t>
        </is>
      </c>
      <c r="D15" s="47"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53" t="n">
        <v>1</v>
      </c>
      <c r="F15" s="49" t="inlineStr">
        <is>
          <t>Compliant</t>
        </is>
      </c>
      <c r="G15" s="47" t="inlineStr">
        <is>
          <t>SR-AUTH-08: Refresh token invalidated on logout; access tokens expire after 30 minutes.</t>
        </is>
      </c>
      <c r="H15" s="47" t="n"/>
    </row>
    <row r="16" ht="30" customHeight="1" s="28">
      <c r="A16" s="50" t="inlineStr">
        <is>
          <t>V7.4</t>
        </is>
      </c>
      <c r="B16" s="50" t="inlineStr">
        <is>
          <t>Session Termination</t>
        </is>
      </c>
      <c r="C16" s="51" t="inlineStr">
        <is>
          <t>V7.4.2</t>
        </is>
      </c>
      <c r="D16" s="52" t="inlineStr">
        <is>
          <t>Verify that the application terminates all active sessions when a user account is disabled or deleted (such as an employee leaving the company).</t>
        </is>
      </c>
      <c r="E16" s="53" t="n">
        <v>1</v>
      </c>
      <c r="F16" s="49" t="inlineStr">
        <is>
          <t>Compliant</t>
        </is>
      </c>
      <c r="G16" s="52" t="inlineStr">
        <is>
          <t>SR-AUTH-08: All refresh tokens invalidated when admin deactivates a user account.</t>
        </is>
      </c>
      <c r="H16" s="52" t="n"/>
    </row>
    <row r="17" ht="30" customHeight="1" s="28">
      <c r="A17" s="45" t="inlineStr">
        <is>
          <t>V7.4</t>
        </is>
      </c>
      <c r="B17" s="45" t="inlineStr">
        <is>
          <t>Session Termination</t>
        </is>
      </c>
      <c r="C17" s="46" t="inlineStr">
        <is>
          <t>V7.4.3</t>
        </is>
      </c>
      <c r="D17" s="47" t="inlineStr">
        <is>
          <t>Verify that the application gives the option to terminate all other active sessions after a successful change or removal of any authentication factor (including password change via reset or recovery and, if present, an MFA settings update).</t>
        </is>
      </c>
      <c r="E17" s="48" t="n">
        <v>2</v>
      </c>
      <c r="F17" s="49" t="inlineStr">
        <is>
          <t>Compliant</t>
        </is>
      </c>
      <c r="G17" s="47" t="inlineStr">
        <is>
          <t>SR-AUTH-08: All refresh tokens invalidated on password change.</t>
        </is>
      </c>
      <c r="H17" s="47" t="n"/>
    </row>
    <row r="18" ht="30" customHeight="1" s="28">
      <c r="A18" s="50" t="inlineStr">
        <is>
          <t>V7.4</t>
        </is>
      </c>
      <c r="B18" s="50" t="inlineStr">
        <is>
          <t>Session Termination</t>
        </is>
      </c>
      <c r="C18" s="51" t="inlineStr">
        <is>
          <t>V7.4.4</t>
        </is>
      </c>
      <c r="D18" s="52" t="inlineStr">
        <is>
          <t>Verify that all pages that require authentication have easy and visible access to logout functionality.</t>
        </is>
      </c>
      <c r="E18" s="48" t="n">
        <v>2</v>
      </c>
      <c r="F18" s="49" t="inlineStr">
        <is>
          <t>Not Applicable</t>
        </is>
      </c>
      <c r="G18" s="52" t="inlineStr">
        <is>
          <t>REST API; no HTML pages with logout buttons.</t>
        </is>
      </c>
      <c r="H18" s="52" t="n"/>
    </row>
    <row r="19" ht="30" customHeight="1" s="28">
      <c r="A19" s="45" t="inlineStr">
        <is>
          <t>V7.4</t>
        </is>
      </c>
      <c r="B19" s="45" t="inlineStr">
        <is>
          <t>Session Termination</t>
        </is>
      </c>
      <c r="C19" s="46" t="inlineStr">
        <is>
          <t>V7.4.5</t>
        </is>
      </c>
      <c r="D19" s="47" t="inlineStr">
        <is>
          <t>Verify that application administrators are able to terminate active sessions for an individual user or for all users.</t>
        </is>
      </c>
      <c r="E19" s="48" t="n">
        <v>2</v>
      </c>
      <c r="F19" s="49" t="inlineStr">
        <is>
          <t>Compliant</t>
        </is>
      </c>
      <c r="G19" s="47" t="inlineStr">
        <is>
          <t>SR-AUTH-08: Admins can deactivate accounts, invalidating all sessions.</t>
        </is>
      </c>
      <c r="H19" s="47" t="n"/>
    </row>
    <row r="20" ht="18" customHeight="1" s="28">
      <c r="A20" s="44" t="inlineStr">
        <is>
          <t>V7.5</t>
        </is>
      </c>
      <c r="B20" s="44" t="inlineStr">
        <is>
          <t>Defenses Against Session Abuse</t>
        </is>
      </c>
      <c r="C20" s="44" t="n"/>
      <c r="D20" s="44" t="n"/>
      <c r="E20" s="44" t="n"/>
      <c r="F20" s="44" t="n"/>
      <c r="G20" s="44" t="n"/>
      <c r="H20" s="44" t="n"/>
    </row>
    <row r="21" ht="30" customHeight="1" s="28">
      <c r="A21" s="45" t="inlineStr">
        <is>
          <t>V7.5</t>
        </is>
      </c>
      <c r="B21" s="45" t="inlineStr">
        <is>
          <t>Defenses Against Session Abuse</t>
        </is>
      </c>
      <c r="C21" s="46" t="inlineStr">
        <is>
          <t>V7.5.1</t>
        </is>
      </c>
      <c r="D21" s="47"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48" t="n">
        <v>2</v>
      </c>
      <c r="F21" s="49" t="inlineStr">
        <is>
          <t>Not Applicable</t>
        </is>
      </c>
      <c r="G21" s="47" t="inlineStr">
        <is>
          <t>Re-authentication before sensitive account changes not explicitly implemented.</t>
        </is>
      </c>
      <c r="H21" s="47" t="n"/>
    </row>
    <row r="22" ht="30" customHeight="1" s="28">
      <c r="A22" s="50" t="inlineStr">
        <is>
          <t>V7.5</t>
        </is>
      </c>
      <c r="B22" s="50" t="inlineStr">
        <is>
          <t>Defenses Against Session Abuse</t>
        </is>
      </c>
      <c r="C22" s="51" t="inlineStr">
        <is>
          <t>V7.5.2</t>
        </is>
      </c>
      <c r="D22" s="52" t="inlineStr">
        <is>
          <t>Verify that users are able to view and (having authenticated again with at least one factor) terminate any or all currently active sessions.</t>
        </is>
      </c>
      <c r="E22" s="48" t="n">
        <v>2</v>
      </c>
      <c r="F22" s="49" t="inlineStr">
        <is>
          <t>Not Applicable</t>
        </is>
      </c>
      <c r="G22" s="52" t="inlineStr">
        <is>
          <t>User session management UI not implemented; REST API only.</t>
        </is>
      </c>
      <c r="H22" s="52" t="n"/>
    </row>
    <row r="23" ht="30" customHeight="1" s="28">
      <c r="A23" s="45" t="inlineStr">
        <is>
          <t>V7.5</t>
        </is>
      </c>
      <c r="B23" s="45" t="inlineStr">
        <is>
          <t>Defenses Against Session Abuse</t>
        </is>
      </c>
      <c r="C23" s="46" t="inlineStr">
        <is>
          <t>V7.5.3</t>
        </is>
      </c>
      <c r="D23" s="47" t="inlineStr">
        <is>
          <t>Verify that the application requires further authentication with at least one factor or secondary verification before performing highly sensitive transactions or operations.</t>
        </is>
      </c>
      <c r="E23" s="54" t="n">
        <v>3</v>
      </c>
      <c r="F23" s="49" t="inlineStr">
        <is>
          <t>Not Applicable</t>
        </is>
      </c>
      <c r="G23" s="47" t="inlineStr">
        <is>
          <t>Step-up authentication for sensitive operations not implemented.</t>
        </is>
      </c>
      <c r="H23" s="47" t="n"/>
    </row>
    <row r="24" ht="18" customHeight="1" s="28">
      <c r="A24" s="44" t="inlineStr">
        <is>
          <t>V7.6</t>
        </is>
      </c>
      <c r="B24" s="44" t="inlineStr">
        <is>
          <t>Federated Re-authentication</t>
        </is>
      </c>
      <c r="C24" s="44" t="n"/>
      <c r="D24" s="44" t="n"/>
      <c r="E24" s="44" t="n"/>
      <c r="F24" s="44" t="n"/>
      <c r="G24" s="44" t="n"/>
      <c r="H24" s="44" t="n"/>
    </row>
    <row r="25" ht="30" customHeight="1" s="28">
      <c r="A25" s="45" t="inlineStr">
        <is>
          <t>V7.6</t>
        </is>
      </c>
      <c r="B25" s="45" t="inlineStr">
        <is>
          <t>Federated Re-authentication</t>
        </is>
      </c>
      <c r="C25" s="46" t="inlineStr">
        <is>
          <t>V7.6.1</t>
        </is>
      </c>
      <c r="D25" s="47" t="inlineStr">
        <is>
          <t>Verify that session lifetime and termination between Relying Parties (RPs) and Identity Providers (IdPs) behave as documented, requiring re-authentication as necessary such as when the maximum time between IdP authentication events is reached.</t>
        </is>
      </c>
      <c r="E25" s="48" t="n">
        <v>2</v>
      </c>
      <c r="F25" s="49" t="inlineStr">
        <is>
          <t>Not Applicable</t>
        </is>
      </c>
      <c r="G25" s="47" t="inlineStr">
        <is>
          <t>No federated identity; standalone JWT session management.</t>
        </is>
      </c>
      <c r="H25" s="47" t="n"/>
    </row>
    <row r="26" ht="30" customHeight="1" s="28">
      <c r="A26" s="50" t="inlineStr">
        <is>
          <t>V7.6</t>
        </is>
      </c>
      <c r="B26" s="50" t="inlineStr">
        <is>
          <t>Federated Re-authentication</t>
        </is>
      </c>
      <c r="C26" s="51" t="inlineStr">
        <is>
          <t>V7.6.2</t>
        </is>
      </c>
      <c r="D26" s="52" t="inlineStr">
        <is>
          <t>Verify that creation of a session requires either the user's consent or an explicit action, preventing the creation of new application sessions without user interaction.</t>
        </is>
      </c>
      <c r="E26" s="48" t="n">
        <v>2</v>
      </c>
      <c r="F26" s="49" t="inlineStr">
        <is>
          <t>Compliant</t>
        </is>
      </c>
      <c r="G26" s="52" t="inlineStr">
        <is>
          <t>Sessions created only on explicit user login action; no passive session creation.</t>
        </is>
      </c>
      <c r="H26" s="52" t="n"/>
    </row>
  </sheetData>
  <conditionalFormatting sqref="F2:F26">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26"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H18"/>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V8.1</t>
        </is>
      </c>
      <c r="B2" s="44" t="inlineStr">
        <is>
          <t>Authorization Documentation</t>
        </is>
      </c>
      <c r="C2" s="44" t="n"/>
      <c r="D2" s="44" t="n"/>
      <c r="E2" s="44" t="n"/>
      <c r="F2" s="44" t="n"/>
      <c r="G2" s="44" t="n"/>
      <c r="H2" s="44" t="n"/>
    </row>
    <row r="3" ht="30" customHeight="1" s="28">
      <c r="A3" s="45" t="inlineStr">
        <is>
          <t>V8.1</t>
        </is>
      </c>
      <c r="B3" s="45" t="inlineStr">
        <is>
          <t>Authorization Documentation</t>
        </is>
      </c>
      <c r="C3" s="46" t="inlineStr">
        <is>
          <t>V8.1.1</t>
        </is>
      </c>
      <c r="D3" s="47" t="inlineStr">
        <is>
          <t>Verify that authorization documentation defines rules for restricting function-level and data-specific access based on consumer permissions and resource attributes.</t>
        </is>
      </c>
      <c r="E3" s="53" t="n">
        <v>1</v>
      </c>
      <c r="F3" s="49" t="inlineStr">
        <is>
          <t>Compliant</t>
        </is>
      </c>
      <c r="G3" s="47" t="inlineStr">
        <is>
          <t>SR-AUTHZ-01, SR-AUTHZ-02: RBAC rules for function-level and data-specific access documented in security requirements and RBAC matrix.</t>
        </is>
      </c>
      <c r="H3" s="47" t="n"/>
    </row>
    <row r="4" ht="30" customHeight="1" s="28">
      <c r="A4" s="50" t="inlineStr">
        <is>
          <t>V8.1</t>
        </is>
      </c>
      <c r="B4" s="50" t="inlineStr">
        <is>
          <t>Authorization Documentation</t>
        </is>
      </c>
      <c r="C4" s="51" t="inlineStr">
        <is>
          <t>V8.1.2</t>
        </is>
      </c>
      <c r="D4" s="52"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48" t="n">
        <v>2</v>
      </c>
      <c r="F4" s="49" t="inlineStr">
        <is>
          <t>Compliant</t>
        </is>
      </c>
      <c r="G4" s="52" t="inlineStr">
        <is>
          <t>SR-AUTHZ-03 to SR-AUTHZ-06: Field-level access restrictions documented (e.g., role field not user-editable, product visibility by status).</t>
        </is>
      </c>
      <c r="H4" s="52" t="n"/>
    </row>
    <row r="5" ht="30" customHeight="1" s="28">
      <c r="A5" s="45" t="inlineStr">
        <is>
          <t>V8.1</t>
        </is>
      </c>
      <c r="B5" s="45" t="inlineStr">
        <is>
          <t>Authorization Documentation</t>
        </is>
      </c>
      <c r="C5" s="46" t="inlineStr">
        <is>
          <t>V8.1.3</t>
        </is>
      </c>
      <c r="D5" s="47"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54" t="n">
        <v>3</v>
      </c>
      <c r="F5" s="49" t="inlineStr">
        <is>
          <t>Not Applicable</t>
        </is>
      </c>
      <c r="G5" s="47" t="inlineStr">
        <is>
          <t>No environmental or contextual attributes (IP, time, location) used in authorization decisions.</t>
        </is>
      </c>
      <c r="H5" s="47" t="n"/>
    </row>
    <row r="6" ht="30" customHeight="1" s="28">
      <c r="A6" s="50" t="inlineStr">
        <is>
          <t>V8.1</t>
        </is>
      </c>
      <c r="B6" s="50" t="inlineStr">
        <is>
          <t>Authorization Documentation</t>
        </is>
      </c>
      <c r="C6" s="51" t="inlineStr">
        <is>
          <t>V8.1.4</t>
        </is>
      </c>
      <c r="D6" s="52"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54" t="n">
        <v>3</v>
      </c>
      <c r="F6" s="49" t="inlineStr">
        <is>
          <t>Not Applicable</t>
        </is>
      </c>
      <c r="G6" s="52" t="inlineStr">
        <is>
          <t>No environmental factors in authorization; RBAC only.</t>
        </is>
      </c>
      <c r="H6" s="52" t="n"/>
    </row>
    <row r="7" ht="18" customHeight="1" s="28">
      <c r="A7" s="44" t="inlineStr">
        <is>
          <t>V8.2</t>
        </is>
      </c>
      <c r="B7" s="44" t="inlineStr">
        <is>
          <t>General Authorization Design</t>
        </is>
      </c>
      <c r="C7" s="44" t="n"/>
      <c r="D7" s="44" t="n"/>
      <c r="E7" s="44" t="n"/>
      <c r="F7" s="44" t="n"/>
      <c r="G7" s="44" t="n"/>
      <c r="H7" s="44" t="n"/>
    </row>
    <row r="8" ht="30" customHeight="1" s="28">
      <c r="A8" s="45" t="inlineStr">
        <is>
          <t>V8.2</t>
        </is>
      </c>
      <c r="B8" s="45" t="inlineStr">
        <is>
          <t>General Authorization Design</t>
        </is>
      </c>
      <c r="C8" s="46" t="inlineStr">
        <is>
          <t>V8.2.1</t>
        </is>
      </c>
      <c r="D8" s="47" t="inlineStr">
        <is>
          <t>Verify that the application ensures that function-level access is restricted to consumers with explicit permissions.</t>
        </is>
      </c>
      <c r="E8" s="53" t="n">
        <v>1</v>
      </c>
      <c r="F8" s="49" t="inlineStr">
        <is>
          <t>Compliant</t>
        </is>
      </c>
      <c r="G8" s="47" t="inlineStr">
        <is>
          <t>SR-AUTHZ-01, SR-AUTHZ-02: RBAC enforced at every API endpoint; function-level access restricted by role.</t>
        </is>
      </c>
      <c r="H8" s="47" t="n"/>
    </row>
    <row r="9" ht="30" customHeight="1" s="28">
      <c r="A9" s="50" t="inlineStr">
        <is>
          <t>V8.2</t>
        </is>
      </c>
      <c r="B9" s="50" t="inlineStr">
        <is>
          <t>General Authorization Design</t>
        </is>
      </c>
      <c r="C9" s="51" t="inlineStr">
        <is>
          <t>V8.2.2</t>
        </is>
      </c>
      <c r="D9" s="52" t="inlineStr">
        <is>
          <t>Verify that the application ensures that data-specific access is restricted to consumers with explicit permissions to specific data items to mitigate insecure direct object reference (IDOR) and broken object level authorization (BOLA).</t>
        </is>
      </c>
      <c r="E9" s="53" t="n">
        <v>1</v>
      </c>
      <c r="F9" s="49" t="inlineStr">
        <is>
          <t>Compliant</t>
        </is>
      </c>
      <c r="G9" s="52" t="inlineStr">
        <is>
          <t>SR-AUTHZ-04, SR-AUTHZ-05: Resource-level ownership checks enforced; IDOR mitigated via UUID IDs and ownership verification.</t>
        </is>
      </c>
      <c r="H9" s="52" t="n"/>
    </row>
    <row r="10" ht="30" customHeight="1" s="28">
      <c r="A10" s="45" t="inlineStr">
        <is>
          <t>V8.2</t>
        </is>
      </c>
      <c r="B10" s="45" t="inlineStr">
        <is>
          <t>General Authorization Design</t>
        </is>
      </c>
      <c r="C10" s="46" t="inlineStr">
        <is>
          <t>V8.2.3</t>
        </is>
      </c>
      <c r="D10" s="47" t="inlineStr">
        <is>
          <t>Verify that the application ensures that field-level access is restricted to consumers with explicit permissions to specific fields to mitigate broken object property level authorization (BOPLA).</t>
        </is>
      </c>
      <c r="E10" s="48" t="n">
        <v>2</v>
      </c>
      <c r="F10" s="49" t="inlineStr">
        <is>
          <t>Compliant</t>
        </is>
      </c>
      <c r="G10" s="47" t="inlineStr">
        <is>
          <t>SR-AUTHZ-03: Role field not user-editable; field-level access restriction enforced.</t>
        </is>
      </c>
      <c r="H10" s="47" t="n"/>
    </row>
    <row r="11" ht="30" customHeight="1" s="28">
      <c r="A11" s="50" t="inlineStr">
        <is>
          <t>V8.2</t>
        </is>
      </c>
      <c r="B11" s="50" t="inlineStr">
        <is>
          <t>General Authorization Design</t>
        </is>
      </c>
      <c r="C11" s="51" t="inlineStr">
        <is>
          <t>V8.2.4</t>
        </is>
      </c>
      <c r="D11" s="52"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54" t="n">
        <v>3</v>
      </c>
      <c r="F11" s="49" t="inlineStr">
        <is>
          <t>Not Applicable</t>
        </is>
      </c>
      <c r="G11" s="52" t="inlineStr">
        <is>
          <t>Adaptive security controls based on environmental attributes not implemented.</t>
        </is>
      </c>
      <c r="H11" s="52" t="n"/>
    </row>
    <row r="12" ht="18" customHeight="1" s="28">
      <c r="A12" s="44" t="inlineStr">
        <is>
          <t>V8.3</t>
        </is>
      </c>
      <c r="B12" s="44" t="inlineStr">
        <is>
          <t>Operation Level Authorization</t>
        </is>
      </c>
      <c r="C12" s="44" t="n"/>
      <c r="D12" s="44" t="n"/>
      <c r="E12" s="44" t="n"/>
      <c r="F12" s="44" t="n"/>
      <c r="G12" s="44" t="n"/>
      <c r="H12" s="44" t="n"/>
    </row>
    <row r="13" ht="30" customHeight="1" s="28">
      <c r="A13" s="45" t="inlineStr">
        <is>
          <t>V8.3</t>
        </is>
      </c>
      <c r="B13" s="45" t="inlineStr">
        <is>
          <t>Operation Level Authorization</t>
        </is>
      </c>
      <c r="C13" s="46" t="inlineStr">
        <is>
          <t>V8.3.1</t>
        </is>
      </c>
      <c r="D13" s="47" t="inlineStr">
        <is>
          <t>Verify that the application enforces authorization rules at a trusted service layer and doesn't rely on controls that an untrusted consumer could manipulate, such as client-side JavaScript.</t>
        </is>
      </c>
      <c r="E13" s="53" t="n">
        <v>1</v>
      </c>
      <c r="F13" s="49" t="inlineStr">
        <is>
          <t>Compliant</t>
        </is>
      </c>
      <c r="G13" s="47" t="inlineStr">
        <is>
          <t>SR-AUTHZ-02: All authorization enforced server-side in middleware and service layer; no client-side controls.</t>
        </is>
      </c>
      <c r="H13" s="47" t="n"/>
    </row>
    <row r="14" ht="30" customHeight="1" s="28">
      <c r="A14" s="50" t="inlineStr">
        <is>
          <t>V8.3</t>
        </is>
      </c>
      <c r="B14" s="50" t="inlineStr">
        <is>
          <t>Operation Level Authorization</t>
        </is>
      </c>
      <c r="C14" s="51" t="inlineStr">
        <is>
          <t>V8.3.2</t>
        </is>
      </c>
      <c r="D14" s="52"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54" t="n">
        <v>3</v>
      </c>
      <c r="F14" s="49" t="inlineStr">
        <is>
          <t>Compliant</t>
        </is>
      </c>
      <c r="G14" s="52" t="inlineStr">
        <is>
          <t>SR-AUTH-05: Short-lived 30-minute access tokens ensure authorization changes take effect within one token lifetime.</t>
        </is>
      </c>
      <c r="H14" s="52" t="n"/>
    </row>
    <row r="15" ht="30" customHeight="1" s="28">
      <c r="A15" s="45" t="inlineStr">
        <is>
          <t>V8.3</t>
        </is>
      </c>
      <c r="B15" s="45" t="inlineStr">
        <is>
          <t>Operation Level Authorization</t>
        </is>
      </c>
      <c r="C15" s="46" t="inlineStr">
        <is>
          <t>V8.3.3</t>
        </is>
      </c>
      <c r="D15" s="47"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54" t="n">
        <v>3</v>
      </c>
      <c r="F15" s="49" t="inlineStr">
        <is>
          <t>Compliant</t>
        </is>
      </c>
      <c r="G15" s="47" t="inlineStr">
        <is>
          <t>JWT contains user identity; service uses requester's token for all authorization decisions.</t>
        </is>
      </c>
      <c r="H15" s="47" t="n"/>
    </row>
    <row r="16" ht="18" customHeight="1" s="28">
      <c r="A16" s="44" t="inlineStr">
        <is>
          <t>V8.4</t>
        </is>
      </c>
      <c r="B16" s="44" t="inlineStr">
        <is>
          <t>Other Authorization Considerations</t>
        </is>
      </c>
      <c r="C16" s="44" t="n"/>
      <c r="D16" s="44" t="n"/>
      <c r="E16" s="44" t="n"/>
      <c r="F16" s="44" t="n"/>
      <c r="G16" s="44" t="n"/>
      <c r="H16" s="44" t="n"/>
    </row>
    <row r="17" ht="30" customHeight="1" s="28">
      <c r="A17" s="45" t="inlineStr">
        <is>
          <t>V8.4</t>
        </is>
      </c>
      <c r="B17" s="45" t="inlineStr">
        <is>
          <t>Other Authorization Considerations</t>
        </is>
      </c>
      <c r="C17" s="46" t="inlineStr">
        <is>
          <t>V8.4.1</t>
        </is>
      </c>
      <c r="D17" s="47" t="inlineStr">
        <is>
          <t>Verify that multi-tenant applications use cross-tenant controls to ensure consumer operations will never affect tenants with which they do not have permissions to interact.</t>
        </is>
      </c>
      <c r="E17" s="48" t="n">
        <v>2</v>
      </c>
      <c r="F17" s="49" t="inlineStr">
        <is>
          <t>Not Applicable</t>
        </is>
      </c>
      <c r="G17" s="47" t="inlineStr">
        <is>
          <t>Single-tenant marketplace; no multi-tenancy isolation requirements.</t>
        </is>
      </c>
      <c r="H17" s="47" t="n"/>
    </row>
    <row r="18" ht="30" customHeight="1" s="28">
      <c r="A18" s="50" t="inlineStr">
        <is>
          <t>V8.4</t>
        </is>
      </c>
      <c r="B18" s="50" t="inlineStr">
        <is>
          <t>Other Authorization Considerations</t>
        </is>
      </c>
      <c r="C18" s="51" t="inlineStr">
        <is>
          <t>V8.4.2</t>
        </is>
      </c>
      <c r="D18" s="52"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54" t="n">
        <v>3</v>
      </c>
      <c r="F18" s="49" t="inlineStr">
        <is>
          <t>Not Applicable</t>
        </is>
      </c>
      <c r="G18" s="52" t="inlineStr">
        <is>
          <t>Administrative interface security beyond RBAC not implemented in Phase 1.</t>
        </is>
      </c>
      <c r="H18" s="52" t="n"/>
    </row>
  </sheetData>
  <conditionalFormatting sqref="F2:F18">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18"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V9.1</t>
        </is>
      </c>
      <c r="B2" s="44" t="inlineStr">
        <is>
          <t>Token source and integrity</t>
        </is>
      </c>
      <c r="C2" s="44" t="n"/>
      <c r="D2" s="44" t="n"/>
      <c r="E2" s="44" t="n"/>
      <c r="F2" s="44" t="n"/>
      <c r="G2" s="44" t="n"/>
      <c r="H2" s="44" t="n"/>
    </row>
    <row r="3" ht="30" customHeight="1" s="28">
      <c r="A3" s="45" t="inlineStr">
        <is>
          <t>V9.1</t>
        </is>
      </c>
      <c r="B3" s="45" t="inlineStr">
        <is>
          <t>Token source and integrity</t>
        </is>
      </c>
      <c r="C3" s="46" t="inlineStr">
        <is>
          <t>V9.1.1</t>
        </is>
      </c>
      <c r="D3" s="47" t="inlineStr">
        <is>
          <t>Verify that self-contained tokens are validated using their digital signature or MAC to protect against tampering before accepting the token's contents.</t>
        </is>
      </c>
      <c r="E3" s="53" t="n">
        <v>1</v>
      </c>
      <c r="F3" s="49" t="inlineStr">
        <is>
          <t>Compliant</t>
        </is>
      </c>
      <c r="G3" s="47" t="inlineStr">
        <is>
          <t>JWT signature verified with PyJWT before use (core/security.py decode_*).</t>
        </is>
      </c>
      <c r="H3" s="47" t="n"/>
    </row>
    <row r="4" ht="30" customHeight="1" s="28">
      <c r="A4" s="50" t="inlineStr">
        <is>
          <t>V9.1</t>
        </is>
      </c>
      <c r="B4" s="50" t="inlineStr">
        <is>
          <t>Token source and integrity</t>
        </is>
      </c>
      <c r="C4" s="51" t="inlineStr">
        <is>
          <t>V9.1.2</t>
        </is>
      </c>
      <c r="D4" s="52"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53" t="n">
        <v>1</v>
      </c>
      <c r="F4" s="49" t="inlineStr">
        <is>
          <t>Compliant</t>
        </is>
      </c>
      <c r="G4" s="52" t="inlineStr">
        <is>
          <t>decode_* pass an explicit algorithms allow-list ([HS256]); the 'none' algorithm is rejected.</t>
        </is>
      </c>
      <c r="H4" s="52" t="n"/>
    </row>
    <row r="5" ht="30" customHeight="1" s="28">
      <c r="A5" s="45" t="inlineStr">
        <is>
          <t>V9.1</t>
        </is>
      </c>
      <c r="B5" s="45" t="inlineStr">
        <is>
          <t>Token source and integrity</t>
        </is>
      </c>
      <c r="C5" s="46" t="inlineStr">
        <is>
          <t>V9.1.3</t>
        </is>
      </c>
      <c r="D5" s="47"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53" t="n">
        <v>1</v>
      </c>
      <c r="F5" s="49" t="inlineStr">
        <is>
          <t>Compliant</t>
        </is>
      </c>
      <c r="G5" s="47" t="inlineStr">
        <is>
          <t>Symmetric HS256 key from environment only; no header-driven key resolution (jku/x5u/jwk not honored for HS256).</t>
        </is>
      </c>
      <c r="H5" s="47" t="n"/>
    </row>
    <row r="6" ht="18" customHeight="1" s="28">
      <c r="A6" s="44" t="inlineStr">
        <is>
          <t>V9.2</t>
        </is>
      </c>
      <c r="B6" s="44" t="inlineStr">
        <is>
          <t>Token content</t>
        </is>
      </c>
      <c r="C6" s="44" t="n"/>
      <c r="D6" s="44" t="n"/>
      <c r="E6" s="44" t="n"/>
      <c r="F6" s="44" t="n"/>
      <c r="G6" s="44" t="n"/>
      <c r="H6" s="44" t="n"/>
    </row>
    <row r="7" ht="30" customHeight="1" s="28">
      <c r="A7" s="45" t="inlineStr">
        <is>
          <t>V9.2</t>
        </is>
      </c>
      <c r="B7" s="45" t="inlineStr">
        <is>
          <t>Token content</t>
        </is>
      </c>
      <c r="C7" s="46" t="inlineStr">
        <is>
          <t>V9.2.1</t>
        </is>
      </c>
      <c r="D7" s="47" t="inlineStr">
        <is>
          <t>Verify that, if a validity time span is present in the token data, the token and its content are accepted only if the verification time is within this validity time span. For example, for JWTs, the claims 'nbf' and 'exp' must be verified.</t>
        </is>
      </c>
      <c r="E7" s="53" t="n">
        <v>1</v>
      </c>
      <c r="F7" s="49" t="inlineStr">
        <is>
          <t>Compliant</t>
        </is>
      </c>
      <c r="G7" s="47" t="inlineStr">
        <is>
          <t>exp is set and verified (PyJWT validates expiry by default); iat-based revocation cutoff also enforced.</t>
        </is>
      </c>
      <c r="H7" s="47" t="n"/>
    </row>
    <row r="8" ht="30" customHeight="1" s="28">
      <c r="A8" s="50" t="inlineStr">
        <is>
          <t>V9.2</t>
        </is>
      </c>
      <c r="B8" s="50" t="inlineStr">
        <is>
          <t>Token content</t>
        </is>
      </c>
      <c r="C8" s="51" t="inlineStr">
        <is>
          <t>V9.2.2</t>
        </is>
      </c>
      <c r="D8" s="52"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48" t="n">
        <v>2</v>
      </c>
      <c r="F8" s="49" t="inlineStr">
        <is>
          <t>Compliant</t>
        </is>
      </c>
      <c r="G8" s="52" t="inlineStr">
        <is>
          <t>Token 'type' claim is checked: access vs refresh enforced (decode_access_token/decode_refresh_token).</t>
        </is>
      </c>
      <c r="H8" s="52" t="n"/>
    </row>
    <row r="9" ht="30" customHeight="1" s="28">
      <c r="A9" s="45" t="inlineStr">
        <is>
          <t>V9.2</t>
        </is>
      </c>
      <c r="B9" s="45" t="inlineStr">
        <is>
          <t>Token content</t>
        </is>
      </c>
      <c r="C9" s="46" t="inlineStr">
        <is>
          <t>V9.2.3</t>
        </is>
      </c>
      <c r="D9" s="47" t="inlineStr">
        <is>
          <t>Verify that the service only accepts tokens which are intended for use with that service (audience). For JWTs, this can be achieved by validating the 'aud' claim against an allowlist defined in the service.</t>
        </is>
      </c>
      <c r="E9" s="48" t="n">
        <v>2</v>
      </c>
      <c r="F9" s="49" t="inlineStr">
        <is>
          <t>Not Applicable</t>
        </is>
      </c>
      <c r="G9" s="47" t="inlineStr">
        <is>
          <t>Single-service monolith; no 'aud' claim / multi-audience scenario.</t>
        </is>
      </c>
      <c r="H9" s="47" t="n"/>
    </row>
    <row r="10" ht="30" customHeight="1" s="28">
      <c r="A10" s="50" t="inlineStr">
        <is>
          <t>V9.2</t>
        </is>
      </c>
      <c r="B10" s="50" t="inlineStr">
        <is>
          <t>Token content</t>
        </is>
      </c>
      <c r="C10" s="51" t="inlineStr">
        <is>
          <t>V9.2.4</t>
        </is>
      </c>
      <c r="D10" s="52"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48" t="n">
        <v>2</v>
      </c>
      <c r="F10" s="49" t="inlineStr">
        <is>
          <t>Not Applicable</t>
        </is>
      </c>
      <c r="G10" s="52" t="inlineStr">
        <is>
          <t>One signing key, single audience; no cross-audience reuse risk.</t>
        </is>
      </c>
      <c r="H10" s="52" t="n"/>
    </row>
  </sheetData>
  <conditionalFormatting sqref="F2:F10">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10"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44"/>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V10.1</t>
        </is>
      </c>
      <c r="B2" s="44" t="inlineStr">
        <is>
          <t>Generic OAuth and OIDC Security</t>
        </is>
      </c>
      <c r="C2" s="44" t="n"/>
      <c r="D2" s="44" t="n"/>
      <c r="E2" s="44" t="n"/>
      <c r="F2" s="44" t="n"/>
      <c r="G2" s="44" t="n"/>
      <c r="H2" s="44" t="n"/>
    </row>
    <row r="3" ht="30" customHeight="1" s="28">
      <c r="A3" s="45" t="inlineStr">
        <is>
          <t>V10.1</t>
        </is>
      </c>
      <c r="B3" s="45" t="inlineStr">
        <is>
          <t>Generic OAuth and OIDC Security</t>
        </is>
      </c>
      <c r="C3" s="46" t="inlineStr">
        <is>
          <t>V10.1.1</t>
        </is>
      </c>
      <c r="D3" s="47" t="inlineStr">
        <is>
          <t>Verify that tokens are only sent to components that strictly need them. For example, when using a backend-for-frontend pattern for browser-based JavaScript applications, access and refresh tokens shall only be accessible for the backend.</t>
        </is>
      </c>
      <c r="E3" s="48" t="n">
        <v>2</v>
      </c>
      <c r="F3" s="49" t="inlineStr">
        <is>
          <t>Not Applicable</t>
        </is>
      </c>
      <c r="G3" s="47" t="inlineStr">
        <is>
          <t>SecureMarket uses self-issued JWTs with first-party email/password login; there is no OAuth2/OIDC authorization server, OAuth client, or delegated resource-server flow.</t>
        </is>
      </c>
      <c r="H3" s="47" t="n"/>
    </row>
    <row r="4" ht="30" customHeight="1" s="28">
      <c r="A4" s="50" t="inlineStr">
        <is>
          <t>V10.1</t>
        </is>
      </c>
      <c r="B4" s="50" t="inlineStr">
        <is>
          <t>Generic OAuth and OIDC Security</t>
        </is>
      </c>
      <c r="C4" s="51" t="inlineStr">
        <is>
          <t>V10.1.2</t>
        </is>
      </c>
      <c r="D4" s="52"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48" t="n">
        <v>2</v>
      </c>
      <c r="F4" s="49" t="inlineStr">
        <is>
          <t>Not Applicable</t>
        </is>
      </c>
      <c r="G4" s="52" t="inlineStr">
        <is>
          <t>SecureMarket uses self-issued JWTs with first-party email/password login; there is no OAuth2/OIDC authorization server, OAuth client, or delegated resource-server flow.</t>
        </is>
      </c>
      <c r="H4" s="52" t="n"/>
    </row>
    <row r="5" ht="18" customHeight="1" s="28">
      <c r="A5" s="44" t="inlineStr">
        <is>
          <t>V10.2</t>
        </is>
      </c>
      <c r="B5" s="44" t="inlineStr">
        <is>
          <t>OAuth Client</t>
        </is>
      </c>
      <c r="C5" s="44" t="n"/>
      <c r="D5" s="44" t="n"/>
      <c r="E5" s="44" t="n"/>
      <c r="F5" s="44" t="n"/>
      <c r="G5" s="44" t="n"/>
      <c r="H5" s="44" t="n"/>
    </row>
    <row r="6" ht="30" customHeight="1" s="28">
      <c r="A6" s="45" t="inlineStr">
        <is>
          <t>V10.2</t>
        </is>
      </c>
      <c r="B6" s="45" t="inlineStr">
        <is>
          <t>OAuth Client</t>
        </is>
      </c>
      <c r="C6" s="46" t="inlineStr">
        <is>
          <t>V10.2.1</t>
        </is>
      </c>
      <c r="D6" s="47"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48" t="n">
        <v>2</v>
      </c>
      <c r="F6" s="49" t="inlineStr">
        <is>
          <t>Not Applicable</t>
        </is>
      </c>
      <c r="G6" s="47" t="inlineStr">
        <is>
          <t>SecureMarket uses self-issued JWTs with first-party email/password login; there is no OAuth2/OIDC authorization server, OAuth client, or delegated resource-server flow.</t>
        </is>
      </c>
      <c r="H6" s="47" t="n"/>
    </row>
    <row r="7" ht="30" customHeight="1" s="28">
      <c r="A7" s="50" t="inlineStr">
        <is>
          <t>V10.2</t>
        </is>
      </c>
      <c r="B7" s="50" t="inlineStr">
        <is>
          <t>OAuth Client</t>
        </is>
      </c>
      <c r="C7" s="51" t="inlineStr">
        <is>
          <t>V10.2.2</t>
        </is>
      </c>
      <c r="D7" s="52"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48" t="n">
        <v>2</v>
      </c>
      <c r="F7" s="49" t="inlineStr">
        <is>
          <t>Not Applicable</t>
        </is>
      </c>
      <c r="G7" s="52" t="inlineStr">
        <is>
          <t>SecureMarket uses self-issued JWTs with first-party email/password login; there is no OAuth2/OIDC authorization server, OAuth client, or delegated resource-server flow.</t>
        </is>
      </c>
      <c r="H7" s="52" t="n"/>
    </row>
    <row r="8" ht="30" customHeight="1" s="28">
      <c r="A8" s="45" t="inlineStr">
        <is>
          <t>V10.2</t>
        </is>
      </c>
      <c r="B8" s="45" t="inlineStr">
        <is>
          <t>OAuth Client</t>
        </is>
      </c>
      <c r="C8" s="46" t="inlineStr">
        <is>
          <t>V10.2.3</t>
        </is>
      </c>
      <c r="D8" s="47" t="inlineStr">
        <is>
          <t>Verify that the OAuth client only requests the required scopes (or other authorization parameters) in requests to the authorization server.</t>
        </is>
      </c>
      <c r="E8" s="54" t="n">
        <v>3</v>
      </c>
      <c r="F8" s="49" t="inlineStr">
        <is>
          <t>Not Applicable</t>
        </is>
      </c>
      <c r="G8" s="47" t="inlineStr">
        <is>
          <t>SecureMarket uses self-issued JWTs with first-party email/password login; there is no OAuth2/OIDC authorization server, OAuth client, or delegated resource-server flow.</t>
        </is>
      </c>
      <c r="H8" s="47" t="n"/>
    </row>
    <row r="9" ht="18" customHeight="1" s="28">
      <c r="A9" s="44" t="inlineStr">
        <is>
          <t>V10.3</t>
        </is>
      </c>
      <c r="B9" s="44" t="inlineStr">
        <is>
          <t>OAuth Resource Server</t>
        </is>
      </c>
      <c r="C9" s="44" t="n"/>
      <c r="D9" s="44" t="n"/>
      <c r="E9" s="44" t="n"/>
      <c r="F9" s="44" t="n"/>
      <c r="G9" s="44" t="n"/>
      <c r="H9" s="44" t="n"/>
    </row>
    <row r="10" ht="30" customHeight="1" s="28">
      <c r="A10" s="45" t="inlineStr">
        <is>
          <t>V10.3</t>
        </is>
      </c>
      <c r="B10" s="45" t="inlineStr">
        <is>
          <t>OAuth Resource Server</t>
        </is>
      </c>
      <c r="C10" s="46" t="inlineStr">
        <is>
          <t>V10.3.1</t>
        </is>
      </c>
      <c r="D10" s="47"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48" t="n">
        <v>2</v>
      </c>
      <c r="F10" s="49" t="inlineStr">
        <is>
          <t>Not Applicable</t>
        </is>
      </c>
      <c r="G10" s="47" t="inlineStr">
        <is>
          <t>SecureMarket uses self-issued JWTs with first-party email/password login; there is no OAuth2/OIDC authorization server, OAuth client, or delegated resource-server flow.</t>
        </is>
      </c>
      <c r="H10" s="47" t="n"/>
    </row>
    <row r="11" ht="30" customHeight="1" s="28">
      <c r="A11" s="50" t="inlineStr">
        <is>
          <t>V10.3</t>
        </is>
      </c>
      <c r="B11" s="50" t="inlineStr">
        <is>
          <t>OAuth Resource Server</t>
        </is>
      </c>
      <c r="C11" s="51" t="inlineStr">
        <is>
          <t>V10.3.2</t>
        </is>
      </c>
      <c r="D11" s="52" t="inlineStr">
        <is>
          <t>Verify that the resource server enforces authorization decisions based on claims from the access token that define delegated authorization. If claims such as 'sub', 'scope', and 'authorization_details' are present, they must be part of the decision.</t>
        </is>
      </c>
      <c r="E11" s="48" t="n">
        <v>2</v>
      </c>
      <c r="F11" s="49" t="inlineStr">
        <is>
          <t>Not Applicable</t>
        </is>
      </c>
      <c r="G11" s="52" t="inlineStr">
        <is>
          <t>SecureMarket uses self-issued JWTs with first-party email/password login; there is no OAuth2/OIDC authorization server, OAuth client, or delegated resource-server flow.</t>
        </is>
      </c>
      <c r="H11" s="52" t="n"/>
    </row>
    <row r="12" ht="30" customHeight="1" s="28">
      <c r="A12" s="45" t="inlineStr">
        <is>
          <t>V10.3</t>
        </is>
      </c>
      <c r="B12" s="45" t="inlineStr">
        <is>
          <t>OAuth Resource Server</t>
        </is>
      </c>
      <c r="C12" s="46" t="inlineStr">
        <is>
          <t>V10.3.3</t>
        </is>
      </c>
      <c r="D12" s="47"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48" t="n">
        <v>2</v>
      </c>
      <c r="F12" s="49" t="inlineStr">
        <is>
          <t>Not Applicable</t>
        </is>
      </c>
      <c r="G12" s="47" t="inlineStr">
        <is>
          <t>SecureMarket uses self-issued JWTs with first-party email/password login; there is no OAuth2/OIDC authorization server, OAuth client, or delegated resource-server flow.</t>
        </is>
      </c>
      <c r="H12" s="47" t="n"/>
    </row>
    <row r="13" ht="30" customHeight="1" s="28">
      <c r="A13" s="50" t="inlineStr">
        <is>
          <t>V10.3</t>
        </is>
      </c>
      <c r="B13" s="50" t="inlineStr">
        <is>
          <t>OAuth Resource Server</t>
        </is>
      </c>
      <c r="C13" s="51" t="inlineStr">
        <is>
          <t>V10.3.4</t>
        </is>
      </c>
      <c r="D13" s="52"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48" t="n">
        <v>2</v>
      </c>
      <c r="F13" s="49" t="inlineStr">
        <is>
          <t>Not Applicable</t>
        </is>
      </c>
      <c r="G13" s="52" t="inlineStr">
        <is>
          <t>SecureMarket uses self-issued JWTs with first-party email/password login; there is no OAuth2/OIDC authorization server, OAuth client, or delegated resource-server flow.</t>
        </is>
      </c>
      <c r="H13" s="52" t="n"/>
    </row>
    <row r="14" ht="30" customHeight="1" s="28">
      <c r="A14" s="45" t="inlineStr">
        <is>
          <t>V10.3</t>
        </is>
      </c>
      <c r="B14" s="45" t="inlineStr">
        <is>
          <t>OAuth Resource Server</t>
        </is>
      </c>
      <c r="C14" s="46" t="inlineStr">
        <is>
          <t>V10.3.5</t>
        </is>
      </c>
      <c r="D14" s="47"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54" t="n">
        <v>3</v>
      </c>
      <c r="F14" s="49" t="inlineStr">
        <is>
          <t>Not Applicable</t>
        </is>
      </c>
      <c r="G14" s="47" t="inlineStr">
        <is>
          <t>SecureMarket uses self-issued JWTs with first-party email/password login; there is no OAuth2/OIDC authorization server, OAuth client, or delegated resource-server flow.</t>
        </is>
      </c>
      <c r="H14" s="47" t="n"/>
    </row>
    <row r="15" ht="18" customHeight="1" s="28">
      <c r="A15" s="44" t="inlineStr">
        <is>
          <t>V10.4</t>
        </is>
      </c>
      <c r="B15" s="44" t="inlineStr">
        <is>
          <t>OAuth Authorization Server</t>
        </is>
      </c>
      <c r="C15" s="44" t="n"/>
      <c r="D15" s="44" t="n"/>
      <c r="E15" s="44" t="n"/>
      <c r="F15" s="44" t="n"/>
      <c r="G15" s="44" t="n"/>
      <c r="H15" s="44" t="n"/>
    </row>
    <row r="16" ht="30" customHeight="1" s="28">
      <c r="A16" s="45" t="inlineStr">
        <is>
          <t>V10.4</t>
        </is>
      </c>
      <c r="B16" s="45" t="inlineStr">
        <is>
          <t>OAuth Authorization Server</t>
        </is>
      </c>
      <c r="C16" s="46" t="inlineStr">
        <is>
          <t>V10.4.1</t>
        </is>
      </c>
      <c r="D16" s="47" t="inlineStr">
        <is>
          <t>Verify that the authorization server validates redirect URIs based on a client-specific allowlist of pre-registered URIs using exact string comparison.</t>
        </is>
      </c>
      <c r="E16" s="53" t="n">
        <v>1</v>
      </c>
      <c r="F16" s="49" t="inlineStr">
        <is>
          <t>Not Applicable</t>
        </is>
      </c>
      <c r="G16" s="47" t="inlineStr">
        <is>
          <t>SecureMarket uses self-issued JWTs with first-party email/password login; there is no OAuth2/OIDC authorization server, OAuth client, or delegated resource-server flow.</t>
        </is>
      </c>
      <c r="H16" s="47" t="n"/>
    </row>
    <row r="17" ht="30" customHeight="1" s="28">
      <c r="A17" s="50" t="inlineStr">
        <is>
          <t>V10.4</t>
        </is>
      </c>
      <c r="B17" s="50" t="inlineStr">
        <is>
          <t>OAuth Authorization Server</t>
        </is>
      </c>
      <c r="C17" s="51" t="inlineStr">
        <is>
          <t>V10.4.2</t>
        </is>
      </c>
      <c r="D17" s="52"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53" t="n">
        <v>1</v>
      </c>
      <c r="F17" s="49" t="inlineStr">
        <is>
          <t>Not Applicable</t>
        </is>
      </c>
      <c r="G17" s="52" t="inlineStr">
        <is>
          <t>SecureMarket uses self-issued JWTs with first-party email/password login; there is no OAuth2/OIDC authorization server, OAuth client, or delegated resource-server flow.</t>
        </is>
      </c>
      <c r="H17" s="52" t="n"/>
    </row>
    <row r="18" ht="30" customHeight="1" s="28">
      <c r="A18" s="45" t="inlineStr">
        <is>
          <t>V10.4</t>
        </is>
      </c>
      <c r="B18" s="45" t="inlineStr">
        <is>
          <t>OAuth Authorization Server</t>
        </is>
      </c>
      <c r="C18" s="46" t="inlineStr">
        <is>
          <t>V10.4.3</t>
        </is>
      </c>
      <c r="D18" s="47" t="inlineStr">
        <is>
          <t>Verify that the authorization code is short-lived. The maximum lifetime can be up to 10 minutes for L1 and L2 applications and up to 1 minute for L3 applications.</t>
        </is>
      </c>
      <c r="E18" s="53" t="n">
        <v>1</v>
      </c>
      <c r="F18" s="49" t="inlineStr">
        <is>
          <t>Not Applicable</t>
        </is>
      </c>
      <c r="G18" s="47" t="inlineStr">
        <is>
          <t>SecureMarket uses self-issued JWTs with first-party email/password login; there is no OAuth2/OIDC authorization server, OAuth client, or delegated resource-server flow.</t>
        </is>
      </c>
      <c r="H18" s="47" t="n"/>
    </row>
    <row r="19" ht="30" customHeight="1" s="28">
      <c r="A19" s="50" t="inlineStr">
        <is>
          <t>V10.4</t>
        </is>
      </c>
      <c r="B19" s="50" t="inlineStr">
        <is>
          <t>OAuth Authorization Server</t>
        </is>
      </c>
      <c r="C19" s="51" t="inlineStr">
        <is>
          <t>V10.4.4</t>
        </is>
      </c>
      <c r="D19" s="52" t="inlineStr">
        <is>
          <t>Verify that for a given client, the authorization server only allows the usage of grants that this client needs to use. Note that the grants 'token' (Implicit flow) and 'password' (Resource Owner Password Credentials flow) must no longer be used.</t>
        </is>
      </c>
      <c r="E19" s="53" t="n">
        <v>1</v>
      </c>
      <c r="F19" s="49" t="inlineStr">
        <is>
          <t>Not Applicable</t>
        </is>
      </c>
      <c r="G19" s="52" t="inlineStr">
        <is>
          <t>SecureMarket uses self-issued JWTs with first-party email/password login; there is no OAuth2/OIDC authorization server, OAuth client, or delegated resource-server flow.</t>
        </is>
      </c>
      <c r="H19" s="52" t="n"/>
    </row>
    <row r="20" ht="30" customHeight="1" s="28">
      <c r="A20" s="45" t="inlineStr">
        <is>
          <t>V10.4</t>
        </is>
      </c>
      <c r="B20" s="45" t="inlineStr">
        <is>
          <t>OAuth Authorization Server</t>
        </is>
      </c>
      <c r="C20" s="46" t="inlineStr">
        <is>
          <t>V10.4.5</t>
        </is>
      </c>
      <c r="D20" s="47"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53" t="n">
        <v>1</v>
      </c>
      <c r="F20" s="49" t="inlineStr">
        <is>
          <t>Not Applicable</t>
        </is>
      </c>
      <c r="G20" s="47" t="inlineStr">
        <is>
          <t>SecureMarket uses self-issued JWTs with first-party email/password login; there is no OAuth2/OIDC authorization server, OAuth client, or delegated resource-server flow.</t>
        </is>
      </c>
      <c r="H20" s="47" t="n"/>
    </row>
    <row r="21" ht="30" customHeight="1" s="28">
      <c r="A21" s="50" t="inlineStr">
        <is>
          <t>V10.4</t>
        </is>
      </c>
      <c r="B21" s="50" t="inlineStr">
        <is>
          <t>OAuth Authorization Server</t>
        </is>
      </c>
      <c r="C21" s="51" t="inlineStr">
        <is>
          <t>V10.4.6</t>
        </is>
      </c>
      <c r="D21" s="52"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48" t="n">
        <v>2</v>
      </c>
      <c r="F21" s="49" t="inlineStr">
        <is>
          <t>Not Applicable</t>
        </is>
      </c>
      <c r="G21" s="52" t="inlineStr">
        <is>
          <t>SecureMarket uses self-issued JWTs with first-party email/password login; there is no OAuth2/OIDC authorization server, OAuth client, or delegated resource-server flow.</t>
        </is>
      </c>
      <c r="H21" s="52" t="n"/>
    </row>
    <row r="22" ht="30" customHeight="1" s="28">
      <c r="A22" s="45" t="inlineStr">
        <is>
          <t>V10.4</t>
        </is>
      </c>
      <c r="B22" s="45" t="inlineStr">
        <is>
          <t>OAuth Authorization Server</t>
        </is>
      </c>
      <c r="C22" s="46" t="inlineStr">
        <is>
          <t>V10.4.7</t>
        </is>
      </c>
      <c r="D22" s="47"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48" t="n">
        <v>2</v>
      </c>
      <c r="F22" s="49" t="inlineStr">
        <is>
          <t>Not Applicable</t>
        </is>
      </c>
      <c r="G22" s="47" t="inlineStr">
        <is>
          <t>SecureMarket uses self-issued JWTs with first-party email/password login; there is no OAuth2/OIDC authorization server, OAuth client, or delegated resource-server flow.</t>
        </is>
      </c>
      <c r="H22" s="47" t="n"/>
    </row>
    <row r="23" ht="30" customHeight="1" s="28">
      <c r="A23" s="50" t="inlineStr">
        <is>
          <t>V10.4</t>
        </is>
      </c>
      <c r="B23" s="50" t="inlineStr">
        <is>
          <t>OAuth Authorization Server</t>
        </is>
      </c>
      <c r="C23" s="51" t="inlineStr">
        <is>
          <t>V10.4.8</t>
        </is>
      </c>
      <c r="D23" s="52" t="inlineStr">
        <is>
          <t>Verify that refresh tokens have an absolute expiration, including if sliding refresh token expiration is applied.</t>
        </is>
      </c>
      <c r="E23" s="48" t="n">
        <v>2</v>
      </c>
      <c r="F23" s="49" t="inlineStr">
        <is>
          <t>Not Applicable</t>
        </is>
      </c>
      <c r="G23" s="52" t="inlineStr">
        <is>
          <t>SecureMarket uses self-issued JWTs with first-party email/password login; there is no OAuth2/OIDC authorization server, OAuth client, or delegated resource-server flow.</t>
        </is>
      </c>
      <c r="H23" s="52" t="n"/>
    </row>
    <row r="24" ht="30" customHeight="1" s="28">
      <c r="A24" s="45" t="inlineStr">
        <is>
          <t>V10.4</t>
        </is>
      </c>
      <c r="B24" s="45" t="inlineStr">
        <is>
          <t>OAuth Authorization Server</t>
        </is>
      </c>
      <c r="C24" s="46" t="inlineStr">
        <is>
          <t>V10.4.9</t>
        </is>
      </c>
      <c r="D24" s="47" t="inlineStr">
        <is>
          <t>Verify that refresh tokens and reference access tokens can be revoked by an authorized user using the authorization server user interface, to mitigate the risk of malicious clients or stolen tokens.</t>
        </is>
      </c>
      <c r="E24" s="48" t="n">
        <v>2</v>
      </c>
      <c r="F24" s="49" t="inlineStr">
        <is>
          <t>Not Applicable</t>
        </is>
      </c>
      <c r="G24" s="47" t="inlineStr">
        <is>
          <t>SecureMarket uses self-issued JWTs with first-party email/password login; there is no OAuth2/OIDC authorization server, OAuth client, or delegated resource-server flow.</t>
        </is>
      </c>
      <c r="H24" s="47" t="n"/>
    </row>
    <row r="25" ht="30" customHeight="1" s="28">
      <c r="A25" s="50" t="inlineStr">
        <is>
          <t>V10.4</t>
        </is>
      </c>
      <c r="B25" s="50" t="inlineStr">
        <is>
          <t>OAuth Authorization Server</t>
        </is>
      </c>
      <c r="C25" s="51" t="inlineStr">
        <is>
          <t>V10.4.10</t>
        </is>
      </c>
      <c r="D25" s="52" t="inlineStr">
        <is>
          <t>Verify that confidential client is authenticated for client-to-authorized server backchannel requests such as token requests, pushed authorization requests (PAR), and token revocation requests.</t>
        </is>
      </c>
      <c r="E25" s="48" t="n">
        <v>2</v>
      </c>
      <c r="F25" s="49" t="inlineStr">
        <is>
          <t>Not Applicable</t>
        </is>
      </c>
      <c r="G25" s="52" t="inlineStr">
        <is>
          <t>SecureMarket uses self-issued JWTs with first-party email/password login; there is no OAuth2/OIDC authorization server, OAuth client, or delegated resource-server flow.</t>
        </is>
      </c>
      <c r="H25" s="52" t="n"/>
    </row>
    <row r="26" ht="30" customHeight="1" s="28">
      <c r="A26" s="45" t="inlineStr">
        <is>
          <t>V10.4</t>
        </is>
      </c>
      <c r="B26" s="45" t="inlineStr">
        <is>
          <t>OAuth Authorization Server</t>
        </is>
      </c>
      <c r="C26" s="46" t="inlineStr">
        <is>
          <t>V10.4.11</t>
        </is>
      </c>
      <c r="D26" s="47" t="inlineStr">
        <is>
          <t>Verify that the authorization server configuration only assigns the required scopes to the OAuth client.</t>
        </is>
      </c>
      <c r="E26" s="48" t="n">
        <v>2</v>
      </c>
      <c r="F26" s="49" t="inlineStr">
        <is>
          <t>Not Applicable</t>
        </is>
      </c>
      <c r="G26" s="47" t="inlineStr">
        <is>
          <t>SecureMarket uses self-issued JWTs with first-party email/password login; there is no OAuth2/OIDC authorization server, OAuth client, or delegated resource-server flow.</t>
        </is>
      </c>
      <c r="H26" s="47" t="n"/>
    </row>
    <row r="27" ht="30" customHeight="1" s="28">
      <c r="A27" s="50" t="inlineStr">
        <is>
          <t>V10.4</t>
        </is>
      </c>
      <c r="B27" s="50" t="inlineStr">
        <is>
          <t>OAuth Authorization Server</t>
        </is>
      </c>
      <c r="C27" s="51" t="inlineStr">
        <is>
          <t>V10.4.12</t>
        </is>
      </c>
      <c r="D27" s="52"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54" t="n">
        <v>3</v>
      </c>
      <c r="F27" s="49" t="inlineStr">
        <is>
          <t>Not Applicable</t>
        </is>
      </c>
      <c r="G27" s="52" t="inlineStr">
        <is>
          <t>SecureMarket uses self-issued JWTs with first-party email/password login; there is no OAuth2/OIDC authorization server, OAuth client, or delegated resource-server flow.</t>
        </is>
      </c>
      <c r="H27" s="52" t="n"/>
    </row>
    <row r="28" ht="30" customHeight="1" s="28">
      <c r="A28" s="45" t="inlineStr">
        <is>
          <t>V10.4</t>
        </is>
      </c>
      <c r="B28" s="45" t="inlineStr">
        <is>
          <t>OAuth Authorization Server</t>
        </is>
      </c>
      <c r="C28" s="46" t="inlineStr">
        <is>
          <t>V10.4.13</t>
        </is>
      </c>
      <c r="D28" s="47" t="inlineStr">
        <is>
          <t>Verify that grant type 'code' is always used together with pushed authorization requests (PAR).</t>
        </is>
      </c>
      <c r="E28" s="54" t="n">
        <v>3</v>
      </c>
      <c r="F28" s="49" t="inlineStr">
        <is>
          <t>Not Applicable</t>
        </is>
      </c>
      <c r="G28" s="47" t="inlineStr">
        <is>
          <t>SecureMarket uses self-issued JWTs with first-party email/password login; there is no OAuth2/OIDC authorization server, OAuth client, or delegated resource-server flow.</t>
        </is>
      </c>
      <c r="H28" s="47" t="n"/>
    </row>
    <row r="29" ht="30" customHeight="1" s="28">
      <c r="A29" s="50" t="inlineStr">
        <is>
          <t>V10.4</t>
        </is>
      </c>
      <c r="B29" s="50" t="inlineStr">
        <is>
          <t>OAuth Authorization Server</t>
        </is>
      </c>
      <c r="C29" s="51" t="inlineStr">
        <is>
          <t>V10.4.14</t>
        </is>
      </c>
      <c r="D29" s="52" t="inlineStr">
        <is>
          <t>Verify that the authorization server issues only sender-constrained (Proof-of-Possession) access tokens, either with certificate-bound access tokens using mutual TLS (mTLS) or DPoP-bound access tokens (Demonstration of Proof of Possession).</t>
        </is>
      </c>
      <c r="E29" s="54" t="n">
        <v>3</v>
      </c>
      <c r="F29" s="49" t="inlineStr">
        <is>
          <t>Not Applicable</t>
        </is>
      </c>
      <c r="G29" s="52" t="inlineStr">
        <is>
          <t>SecureMarket uses self-issued JWTs with first-party email/password login; there is no OAuth2/OIDC authorization server, OAuth client, or delegated resource-server flow.</t>
        </is>
      </c>
      <c r="H29" s="52" t="n"/>
    </row>
    <row r="30" ht="30" customHeight="1" s="28">
      <c r="A30" s="45" t="inlineStr">
        <is>
          <t>V10.4</t>
        </is>
      </c>
      <c r="B30" s="45" t="inlineStr">
        <is>
          <t>OAuth Authorization Server</t>
        </is>
      </c>
      <c r="C30" s="46" t="inlineStr">
        <is>
          <t>V10.4.15</t>
        </is>
      </c>
      <c r="D30" s="47"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54" t="n">
        <v>3</v>
      </c>
      <c r="F30" s="49" t="inlineStr">
        <is>
          <t>Not Applicable</t>
        </is>
      </c>
      <c r="G30" s="47" t="inlineStr">
        <is>
          <t>SecureMarket uses self-issued JWTs with first-party email/password login; there is no OAuth2/OIDC authorization server, OAuth client, or delegated resource-server flow.</t>
        </is>
      </c>
      <c r="H30" s="47" t="n"/>
    </row>
    <row r="31" ht="30" customHeight="1" s="28">
      <c r="A31" s="50" t="inlineStr">
        <is>
          <t>V10.4</t>
        </is>
      </c>
      <c r="B31" s="50" t="inlineStr">
        <is>
          <t>OAuth Authorization Server</t>
        </is>
      </c>
      <c r="C31" s="51" t="inlineStr">
        <is>
          <t>V10.4.16</t>
        </is>
      </c>
      <c r="D31" s="52"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54" t="n">
        <v>3</v>
      </c>
      <c r="F31" s="49" t="inlineStr">
        <is>
          <t>Not Applicable</t>
        </is>
      </c>
      <c r="G31" s="52" t="inlineStr">
        <is>
          <t>SecureMarket uses self-issued JWTs with first-party email/password login; there is no OAuth2/OIDC authorization server, OAuth client, or delegated resource-server flow.</t>
        </is>
      </c>
      <c r="H31" s="52" t="n"/>
    </row>
    <row r="32" ht="18" customHeight="1" s="28">
      <c r="A32" s="44" t="inlineStr">
        <is>
          <t>V10.5</t>
        </is>
      </c>
      <c r="B32" s="44" t="inlineStr">
        <is>
          <t>OIDC Client</t>
        </is>
      </c>
      <c r="C32" s="44" t="n"/>
      <c r="D32" s="44" t="n"/>
      <c r="E32" s="44" t="n"/>
      <c r="F32" s="44" t="n"/>
      <c r="G32" s="44" t="n"/>
      <c r="H32" s="44" t="n"/>
    </row>
    <row r="33" ht="30" customHeight="1" s="28">
      <c r="A33" s="45" t="inlineStr">
        <is>
          <t>V10.5</t>
        </is>
      </c>
      <c r="B33" s="45" t="inlineStr">
        <is>
          <t>OIDC Client</t>
        </is>
      </c>
      <c r="C33" s="46" t="inlineStr">
        <is>
          <t>V10.5.1</t>
        </is>
      </c>
      <c r="D33" s="47"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48" t="n">
        <v>2</v>
      </c>
      <c r="F33" s="49" t="inlineStr">
        <is>
          <t>Not Applicable</t>
        </is>
      </c>
      <c r="G33" s="47" t="inlineStr">
        <is>
          <t>SecureMarket uses self-issued JWTs with first-party email/password login; there is no OAuth2/OIDC authorization server, OAuth client, or delegated resource-server flow.</t>
        </is>
      </c>
      <c r="H33" s="47" t="n"/>
    </row>
    <row r="34" ht="30" customHeight="1" s="28">
      <c r="A34" s="50" t="inlineStr">
        <is>
          <t>V10.5</t>
        </is>
      </c>
      <c r="B34" s="50" t="inlineStr">
        <is>
          <t>OIDC Client</t>
        </is>
      </c>
      <c r="C34" s="51" t="inlineStr">
        <is>
          <t>V10.5.2</t>
        </is>
      </c>
      <c r="D34" s="52" t="inlineStr">
        <is>
          <t>Verify that the client uniquely identifies the user from ID Token claims, usually the 'sub' claim, which cannot be reassigned to other users (for the scope of an identity provider).</t>
        </is>
      </c>
      <c r="E34" s="48" t="n">
        <v>2</v>
      </c>
      <c r="F34" s="49" t="inlineStr">
        <is>
          <t>Not Applicable</t>
        </is>
      </c>
      <c r="G34" s="52" t="inlineStr">
        <is>
          <t>SecureMarket uses self-issued JWTs with first-party email/password login; there is no OAuth2/OIDC authorization server, OAuth client, or delegated resource-server flow.</t>
        </is>
      </c>
      <c r="H34" s="52" t="n"/>
    </row>
    <row r="35" ht="30" customHeight="1" s="28">
      <c r="A35" s="45" t="inlineStr">
        <is>
          <t>V10.5</t>
        </is>
      </c>
      <c r="B35" s="45" t="inlineStr">
        <is>
          <t>OIDC Client</t>
        </is>
      </c>
      <c r="C35" s="46" t="inlineStr">
        <is>
          <t>V10.5.3</t>
        </is>
      </c>
      <c r="D35" s="47"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48" t="n">
        <v>2</v>
      </c>
      <c r="F35" s="49" t="inlineStr">
        <is>
          <t>Not Applicable</t>
        </is>
      </c>
      <c r="G35" s="47" t="inlineStr">
        <is>
          <t>SecureMarket uses self-issued JWTs with first-party email/password login; there is no OAuth2/OIDC authorization server, OAuth client, or delegated resource-server flow.</t>
        </is>
      </c>
      <c r="H35" s="47" t="n"/>
    </row>
    <row r="36" ht="30" customHeight="1" s="28">
      <c r="A36" s="50" t="inlineStr">
        <is>
          <t>V10.5</t>
        </is>
      </c>
      <c r="B36" s="50" t="inlineStr">
        <is>
          <t>OIDC Client</t>
        </is>
      </c>
      <c r="C36" s="51" t="inlineStr">
        <is>
          <t>V10.5.4</t>
        </is>
      </c>
      <c r="D36" s="52" t="inlineStr">
        <is>
          <t>Verify that the client validates that the ID Token is intended to be used for that client (audience) by checking that the 'aud' claim from the token is equal to the 'client_id' value for the client.</t>
        </is>
      </c>
      <c r="E36" s="48" t="n">
        <v>2</v>
      </c>
      <c r="F36" s="49" t="inlineStr">
        <is>
          <t>Not Applicable</t>
        </is>
      </c>
      <c r="G36" s="52" t="inlineStr">
        <is>
          <t>SecureMarket uses self-issued JWTs with first-party email/password login; there is no OAuth2/OIDC authorization server, OAuth client, or delegated resource-server flow.</t>
        </is>
      </c>
      <c r="H36" s="52" t="n"/>
    </row>
    <row r="37" ht="30" customHeight="1" s="28">
      <c r="A37" s="45" t="inlineStr">
        <is>
          <t>V10.5</t>
        </is>
      </c>
      <c r="B37" s="45" t="inlineStr">
        <is>
          <t>OIDC Client</t>
        </is>
      </c>
      <c r="C37" s="46" t="inlineStr">
        <is>
          <t>V10.5.5</t>
        </is>
      </c>
      <c r="D37" s="47"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48" t="n">
        <v>2</v>
      </c>
      <c r="F37" s="49" t="inlineStr">
        <is>
          <t>Not Applicable</t>
        </is>
      </c>
      <c r="G37" s="47" t="inlineStr">
        <is>
          <t>SecureMarket uses self-issued JWTs with first-party email/password login; there is no OAuth2/OIDC authorization server, OAuth client, or delegated resource-server flow.</t>
        </is>
      </c>
      <c r="H37" s="47" t="n"/>
    </row>
    <row r="38" ht="18" customHeight="1" s="28">
      <c r="A38" s="44" t="inlineStr">
        <is>
          <t>V10.6</t>
        </is>
      </c>
      <c r="B38" s="44" t="inlineStr">
        <is>
          <t>OpenID Provider</t>
        </is>
      </c>
      <c r="C38" s="44" t="n"/>
      <c r="D38" s="44" t="n"/>
      <c r="E38" s="44" t="n"/>
      <c r="F38" s="44" t="n"/>
      <c r="G38" s="44" t="n"/>
      <c r="H38" s="44" t="n"/>
    </row>
    <row r="39" ht="30" customHeight="1" s="28">
      <c r="A39" s="45" t="inlineStr">
        <is>
          <t>V10.6</t>
        </is>
      </c>
      <c r="B39" s="45" t="inlineStr">
        <is>
          <t>OpenID Provider</t>
        </is>
      </c>
      <c r="C39" s="46" t="inlineStr">
        <is>
          <t>V10.6.1</t>
        </is>
      </c>
      <c r="D39" s="47" t="inlineStr">
        <is>
          <t>Verify that the OpenID Provider only allows values 'code', 'ciba', 'id_token', or 'id_token code' for response mode. Note that 'code' is preferred over 'id_token code' (the OIDC Hybrid flow), and 'token' (any Implicit flow) must not be used.</t>
        </is>
      </c>
      <c r="E39" s="48" t="n">
        <v>2</v>
      </c>
      <c r="F39" s="49" t="inlineStr">
        <is>
          <t>Not Applicable</t>
        </is>
      </c>
      <c r="G39" s="47" t="inlineStr">
        <is>
          <t>SecureMarket uses self-issued JWTs with first-party email/password login; there is no OAuth2/OIDC authorization server, OAuth client, or delegated resource-server flow.</t>
        </is>
      </c>
      <c r="H39" s="47" t="n"/>
    </row>
    <row r="40" ht="30" customHeight="1" s="28">
      <c r="A40" s="50" t="inlineStr">
        <is>
          <t>V10.6</t>
        </is>
      </c>
      <c r="B40" s="50" t="inlineStr">
        <is>
          <t>OpenID Provider</t>
        </is>
      </c>
      <c r="C40" s="51" t="inlineStr">
        <is>
          <t>V10.6.2</t>
        </is>
      </c>
      <c r="D40" s="52" t="inlineStr">
        <is>
          <t>Verify that the OpenID Provider mitigates denial of service through forced logout. By obtaining explicit confirmation from the end-user or, if present, validating parameters in the logout request (initiated by the relying party), such as the 'id_token_hint'.</t>
        </is>
      </c>
      <c r="E40" s="48" t="n">
        <v>2</v>
      </c>
      <c r="F40" s="49" t="inlineStr">
        <is>
          <t>Not Applicable</t>
        </is>
      </c>
      <c r="G40" s="52" t="inlineStr">
        <is>
          <t>SecureMarket uses self-issued JWTs with first-party email/password login; there is no OAuth2/OIDC authorization server, OAuth client, or delegated resource-server flow.</t>
        </is>
      </c>
      <c r="H40" s="52" t="n"/>
    </row>
    <row r="41" ht="18" customHeight="1" s="28">
      <c r="A41" s="44" t="inlineStr">
        <is>
          <t>V10.7</t>
        </is>
      </c>
      <c r="B41" s="44" t="inlineStr">
        <is>
          <t>Consent Management</t>
        </is>
      </c>
      <c r="C41" s="44" t="n"/>
      <c r="D41" s="44" t="n"/>
      <c r="E41" s="44" t="n"/>
      <c r="F41" s="44" t="n"/>
      <c r="G41" s="44" t="n"/>
      <c r="H41" s="44" t="n"/>
    </row>
    <row r="42" ht="30" customHeight="1" s="28">
      <c r="A42" s="45" t="inlineStr">
        <is>
          <t>V10.7</t>
        </is>
      </c>
      <c r="B42" s="45" t="inlineStr">
        <is>
          <t>Consent Management</t>
        </is>
      </c>
      <c r="C42" s="46" t="inlineStr">
        <is>
          <t>V10.7.1</t>
        </is>
      </c>
      <c r="D42" s="47" t="inlineStr">
        <is>
          <t>Verify that the authorization server ensures that the user consents to each authorization request. If the identity of the client cannot be assured, the authorization server must always explicitly prompt the user for consent.</t>
        </is>
      </c>
      <c r="E42" s="48" t="n">
        <v>2</v>
      </c>
      <c r="F42" s="49" t="inlineStr">
        <is>
          <t>Not Applicable</t>
        </is>
      </c>
      <c r="G42" s="47" t="inlineStr">
        <is>
          <t>SecureMarket uses self-issued JWTs with first-party email/password login; there is no OAuth2/OIDC authorization server, OAuth client, or delegated resource-server flow.</t>
        </is>
      </c>
      <c r="H42" s="47" t="n"/>
    </row>
    <row r="43" ht="30" customHeight="1" s="28">
      <c r="A43" s="50" t="inlineStr">
        <is>
          <t>V10.7</t>
        </is>
      </c>
      <c r="B43" s="50" t="inlineStr">
        <is>
          <t>Consent Management</t>
        </is>
      </c>
      <c r="C43" s="51" t="inlineStr">
        <is>
          <t>V10.7.2</t>
        </is>
      </c>
      <c r="D43" s="52"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48" t="n">
        <v>2</v>
      </c>
      <c r="F43" s="49" t="inlineStr">
        <is>
          <t>Not Applicable</t>
        </is>
      </c>
      <c r="G43" s="52" t="inlineStr">
        <is>
          <t>SecureMarket uses self-issued JWTs with first-party email/password login; there is no OAuth2/OIDC authorization server, OAuth client, or delegated resource-server flow.</t>
        </is>
      </c>
      <c r="H43" s="52" t="n"/>
    </row>
    <row r="44" ht="30" customHeight="1" s="28">
      <c r="A44" s="45" t="inlineStr">
        <is>
          <t>V10.7</t>
        </is>
      </c>
      <c r="B44" s="45" t="inlineStr">
        <is>
          <t>Consent Management</t>
        </is>
      </c>
      <c r="C44" s="46" t="inlineStr">
        <is>
          <t>V10.7.3</t>
        </is>
      </c>
      <c r="D44" s="47" t="inlineStr">
        <is>
          <t>Verify that the user can review, modify, and revoke consents which the user has granted through the authorization server.</t>
        </is>
      </c>
      <c r="E44" s="48" t="n">
        <v>2</v>
      </c>
      <c r="F44" s="49" t="inlineStr">
        <is>
          <t>Not Applicable</t>
        </is>
      </c>
      <c r="G44" s="47" t="inlineStr">
        <is>
          <t>SecureMarket uses self-issued JWTs with first-party email/password login; there is no OAuth2/OIDC authorization server, OAuth client, or delegated resource-server flow.</t>
        </is>
      </c>
      <c r="H44" s="47" t="n"/>
    </row>
  </sheetData>
  <conditionalFormatting sqref="F2:F44">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44"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H32"/>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V11.1</t>
        </is>
      </c>
      <c r="B2" s="44" t="inlineStr">
        <is>
          <t>Cryptographic Inventory and Documentation</t>
        </is>
      </c>
      <c r="C2" s="44" t="n"/>
      <c r="D2" s="44" t="n"/>
      <c r="E2" s="44" t="n"/>
      <c r="F2" s="44" t="n"/>
      <c r="G2" s="44" t="n"/>
      <c r="H2" s="44" t="n"/>
    </row>
    <row r="3" ht="30" customHeight="1" s="28">
      <c r="A3" s="45" t="inlineStr">
        <is>
          <t>V11.1</t>
        </is>
      </c>
      <c r="B3" s="45" t="inlineStr">
        <is>
          <t>Cryptographic Inventory and Documentation</t>
        </is>
      </c>
      <c r="C3" s="46" t="inlineStr">
        <is>
          <t>V11.1.1</t>
        </is>
      </c>
      <c r="D3" s="47"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48" t="n">
        <v>2</v>
      </c>
      <c r="F3" s="49" t="inlineStr">
        <is>
          <t>In Progress</t>
        </is>
      </c>
      <c r="G3" s="47" t="inlineStr">
        <is>
          <t>Secrets-via-environment is documented (core/config.py, report); a formal key-management lifecycle/rotation policy (NIST SP 800-57) is not documented.</t>
        </is>
      </c>
      <c r="H3" s="47" t="n"/>
    </row>
    <row r="4" ht="30" customHeight="1" s="28">
      <c r="A4" s="50" t="inlineStr">
        <is>
          <t>V11.1</t>
        </is>
      </c>
      <c r="B4" s="50" t="inlineStr">
        <is>
          <t>Cryptographic Inventory and Documentation</t>
        </is>
      </c>
      <c r="C4" s="51" t="inlineStr">
        <is>
          <t>V11.1.2</t>
        </is>
      </c>
      <c r="D4" s="52"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48" t="n">
        <v>2</v>
      </c>
      <c r="F4" s="49" t="inlineStr">
        <is>
          <t>In Progress</t>
        </is>
      </c>
      <c r="G4" s="52" t="inlineStr">
        <is>
          <t>The report describes the crypto in use (bcrypt, HS256, SHA-256, TLS); a maintained formal cryptographic inventory is not kept.</t>
        </is>
      </c>
      <c r="H4" s="52" t="n"/>
    </row>
    <row r="5" ht="30" customHeight="1" s="28">
      <c r="A5" s="45" t="inlineStr">
        <is>
          <t>V11.1</t>
        </is>
      </c>
      <c r="B5" s="45" t="inlineStr">
        <is>
          <t>Cryptographic Inventory and Documentation</t>
        </is>
      </c>
      <c r="C5" s="46" t="inlineStr">
        <is>
          <t>V11.1.3</t>
        </is>
      </c>
      <c r="D5" s="47" t="inlineStr">
        <is>
          <t>Verify that cryptographic discovery mechanisms are employed to identify all instances of cryptography in the system, including encryption, hashing, and signing operations.</t>
        </is>
      </c>
      <c r="E5" s="54" t="n">
        <v>3</v>
      </c>
      <c r="F5" s="49" t="inlineStr">
        <is>
          <t>Not Started</t>
        </is>
      </c>
      <c r="G5" s="47" t="inlineStr">
        <is>
          <t>No automated cryptographic discovery mechanism.</t>
        </is>
      </c>
      <c r="H5" s="47" t="n"/>
    </row>
    <row r="6" ht="30" customHeight="1" s="28">
      <c r="A6" s="50" t="inlineStr">
        <is>
          <t>V11.1</t>
        </is>
      </c>
      <c r="B6" s="50" t="inlineStr">
        <is>
          <t>Cryptographic Inventory and Documentation</t>
        </is>
      </c>
      <c r="C6" s="51" t="inlineStr">
        <is>
          <t>V11.1.4</t>
        </is>
      </c>
      <c r="D6" s="52" t="inlineStr">
        <is>
          <t>Verify that a cryptographic inventory is maintained. This must include a documented plan that outlines the migration path to new cryptographic standards, such as post-quantum cryptography, in order to react to future threats.</t>
        </is>
      </c>
      <c r="E6" s="54" t="n">
        <v>3</v>
      </c>
      <c r="F6" s="49" t="inlineStr">
        <is>
          <t>Not Started</t>
        </is>
      </c>
      <c r="G6" s="52" t="inlineStr">
        <is>
          <t>No documented PQC migration plan.</t>
        </is>
      </c>
      <c r="H6" s="52" t="n"/>
    </row>
    <row r="7" ht="18" customHeight="1" s="28">
      <c r="A7" s="44" t="inlineStr">
        <is>
          <t>V11.2</t>
        </is>
      </c>
      <c r="B7" s="44" t="inlineStr">
        <is>
          <t>Secure Cryptography Implementation</t>
        </is>
      </c>
      <c r="C7" s="44" t="n"/>
      <c r="D7" s="44" t="n"/>
      <c r="E7" s="44" t="n"/>
      <c r="F7" s="44" t="n"/>
      <c r="G7" s="44" t="n"/>
      <c r="H7" s="44" t="n"/>
    </row>
    <row r="8" ht="30" customHeight="1" s="28">
      <c r="A8" s="45" t="inlineStr">
        <is>
          <t>V11.2</t>
        </is>
      </c>
      <c r="B8" s="45" t="inlineStr">
        <is>
          <t>Secure Cryptography Implementation</t>
        </is>
      </c>
      <c r="C8" s="46" t="inlineStr">
        <is>
          <t>V11.2.1</t>
        </is>
      </c>
      <c r="D8" s="47" t="inlineStr">
        <is>
          <t>Verify that industry-validated implementations (including libraries and hardware-accelerated implementations) are used for cryptographic operations.</t>
        </is>
      </c>
      <c r="E8" s="48" t="n">
        <v>2</v>
      </c>
      <c r="F8" s="49" t="inlineStr">
        <is>
          <t>Compliant</t>
        </is>
      </c>
      <c r="G8" s="47" t="inlineStr">
        <is>
          <t>Industry-standard implementations used: bcrypt, PyJWT, hashlib, OpenSSL (TLS via nginx).</t>
        </is>
      </c>
      <c r="H8" s="47" t="n"/>
    </row>
    <row r="9" ht="30" customHeight="1" s="28">
      <c r="A9" s="50" t="inlineStr">
        <is>
          <t>V11.2</t>
        </is>
      </c>
      <c r="B9" s="50" t="inlineStr">
        <is>
          <t>Secure Cryptography Implementation</t>
        </is>
      </c>
      <c r="C9" s="51" t="inlineStr">
        <is>
          <t>V11.2.2</t>
        </is>
      </c>
      <c r="D9" s="52"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48" t="n">
        <v>2</v>
      </c>
      <c r="F9" s="49" t="inlineStr">
        <is>
          <t>In Progress</t>
        </is>
      </c>
      <c r="G9" s="52" t="inlineStr">
        <is>
          <t>JWT algorithm is configurable via settings and password hashing is swappable; no full crypto-agility framework.</t>
        </is>
      </c>
      <c r="H9" s="52" t="n"/>
    </row>
    <row r="10" ht="30" customHeight="1" s="28">
      <c r="A10" s="45" t="inlineStr">
        <is>
          <t>V11.2</t>
        </is>
      </c>
      <c r="B10" s="45" t="inlineStr">
        <is>
          <t>Secure Cryptography Implementation</t>
        </is>
      </c>
      <c r="C10" s="46" t="inlineStr">
        <is>
          <t>V11.2.3</t>
        </is>
      </c>
      <c r="D10" s="47"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48" t="n">
        <v>2</v>
      </c>
      <c r="F10" s="49" t="inlineStr">
        <is>
          <t>Compliant</t>
        </is>
      </c>
      <c r="G10" s="47" t="inlineStr">
        <is>
          <t>bcrypt and HS256 (&gt;=256-bit secret expected) plus AES-GCM TLS provide &gt;=128-bit security.</t>
        </is>
      </c>
      <c r="H10" s="47" t="n"/>
    </row>
    <row r="11" ht="30" customHeight="1" s="28">
      <c r="A11" s="50" t="inlineStr">
        <is>
          <t>V11.2</t>
        </is>
      </c>
      <c r="B11" s="50" t="inlineStr">
        <is>
          <t>Secure Cryptography Implementation</t>
        </is>
      </c>
      <c r="C11" s="51" t="inlineStr">
        <is>
          <t>V11.2.4</t>
        </is>
      </c>
      <c r="D11" s="52" t="inlineStr">
        <is>
          <t>Verify that all cryptographic operations are constant-time, with no 'short-circuit' operations in comparisons, calculations, or returns, to avoid leaking information.</t>
        </is>
      </c>
      <c r="E11" s="54" t="n">
        <v>3</v>
      </c>
      <c r="F11" s="49" t="inlineStr">
        <is>
          <t>Compliant</t>
        </is>
      </c>
      <c r="G11" s="52" t="inlineStr">
        <is>
          <t>Constant-time password verification (bcrypt.checkpw, dummy-hash fallback for unknown users) prevents timing enumeration.</t>
        </is>
      </c>
      <c r="H11" s="52" t="n"/>
    </row>
    <row r="12" ht="30" customHeight="1" s="28">
      <c r="A12" s="45" t="inlineStr">
        <is>
          <t>V11.2</t>
        </is>
      </c>
      <c r="B12" s="45" t="inlineStr">
        <is>
          <t>Secure Cryptography Implementation</t>
        </is>
      </c>
      <c r="C12" s="46" t="inlineStr">
        <is>
          <t>V11.2.5</t>
        </is>
      </c>
      <c r="D12" s="47" t="inlineStr">
        <is>
          <t>Verify that all cryptographic modules fail securely, and errors are handled in a way that does not enable vulnerabilities, such as Padding Oracle attacks.</t>
        </is>
      </c>
      <c r="E12" s="54" t="n">
        <v>3</v>
      </c>
      <c r="F12" s="49" t="inlineStr">
        <is>
          <t>Compliant</t>
        </is>
      </c>
      <c r="G12" s="47" t="inlineStr">
        <is>
          <t>Crypto failures fail closed: malformed hash -&gt; False; invalid token -&gt; 401.</t>
        </is>
      </c>
      <c r="H12" s="47" t="n"/>
    </row>
    <row r="13" ht="18" customHeight="1" s="28">
      <c r="A13" s="44" t="inlineStr">
        <is>
          <t>V11.3</t>
        </is>
      </c>
      <c r="B13" s="44" t="inlineStr">
        <is>
          <t>Encryption Algorithms</t>
        </is>
      </c>
      <c r="C13" s="44" t="n"/>
      <c r="D13" s="44" t="n"/>
      <c r="E13" s="44" t="n"/>
      <c r="F13" s="44" t="n"/>
      <c r="G13" s="44" t="n"/>
      <c r="H13" s="44" t="n"/>
    </row>
    <row r="14" ht="30" customHeight="1" s="28">
      <c r="A14" s="45" t="inlineStr">
        <is>
          <t>V11.3</t>
        </is>
      </c>
      <c r="B14" s="45" t="inlineStr">
        <is>
          <t>Encryption Algorithms</t>
        </is>
      </c>
      <c r="C14" s="46" t="inlineStr">
        <is>
          <t>V11.3.1</t>
        </is>
      </c>
      <c r="D14" s="47" t="inlineStr">
        <is>
          <t>Verify that insecure block modes (e.g., ECB) and weak padding schemes (e.g., PKCS#1 v1.5) are not used.</t>
        </is>
      </c>
      <c r="E14" s="53" t="n">
        <v>1</v>
      </c>
      <c r="F14" s="49" t="inlineStr">
        <is>
          <t>Compliant</t>
        </is>
      </c>
      <c r="G14" s="47" t="inlineStr">
        <is>
          <t>No app-level symmetric encryption; TLS uses GCM (no ECB/weak padding).</t>
        </is>
      </c>
      <c r="H14" s="47" t="n"/>
    </row>
    <row r="15" ht="30" customHeight="1" s="28">
      <c r="A15" s="50" t="inlineStr">
        <is>
          <t>V11.3</t>
        </is>
      </c>
      <c r="B15" s="50" t="inlineStr">
        <is>
          <t>Encryption Algorithms</t>
        </is>
      </c>
      <c r="C15" s="51" t="inlineStr">
        <is>
          <t>V11.3.2</t>
        </is>
      </c>
      <c r="D15" s="52" t="inlineStr">
        <is>
          <t>Verify that only approved ciphers and modes such as AES with GCM are used.</t>
        </is>
      </c>
      <c r="E15" s="53" t="n">
        <v>1</v>
      </c>
      <c r="F15" s="49" t="inlineStr">
        <is>
          <t>Compliant</t>
        </is>
      </c>
      <c r="G15" s="52" t="inlineStr">
        <is>
          <t>nginx enables only AES-GCM and CHACHA20-POLY1305 cipher suites.</t>
        </is>
      </c>
      <c r="H15" s="52" t="n"/>
    </row>
    <row r="16" ht="30" customHeight="1" s="28">
      <c r="A16" s="45" t="inlineStr">
        <is>
          <t>V11.3</t>
        </is>
      </c>
      <c r="B16" s="45" t="inlineStr">
        <is>
          <t>Encryption Algorithms</t>
        </is>
      </c>
      <c r="C16" s="46" t="inlineStr">
        <is>
          <t>V11.3.3</t>
        </is>
      </c>
      <c r="D16" s="47" t="inlineStr">
        <is>
          <t>Verify that encrypted data is protected against unauthorized modification preferably by using an approved authenticated encryption method or by combining an approved encryption method with an approved MAC algorithm.</t>
        </is>
      </c>
      <c r="E16" s="48" t="n">
        <v>2</v>
      </c>
      <c r="F16" s="49" t="inlineStr">
        <is>
          <t>Compliant</t>
        </is>
      </c>
      <c r="G16" s="47" t="inlineStr">
        <is>
          <t>Data in transit protected by AEAD (TLS GCM); tokens protected by HMAC (HS256).</t>
        </is>
      </c>
      <c r="H16" s="47" t="n"/>
    </row>
    <row r="17" ht="30" customHeight="1" s="28">
      <c r="A17" s="50" t="inlineStr">
        <is>
          <t>V11.3</t>
        </is>
      </c>
      <c r="B17" s="50" t="inlineStr">
        <is>
          <t>Encryption Algorithms</t>
        </is>
      </c>
      <c r="C17" s="51" t="inlineStr">
        <is>
          <t>V11.3.4</t>
        </is>
      </c>
      <c r="D17" s="52" t="inlineStr">
        <is>
          <t>Verify that nonces, initialization vectors, and other single-use numbers are not used for more than one encryption key and data-element pair. The method of generation must be appropriate for the algorithm being used.</t>
        </is>
      </c>
      <c r="E17" s="54" t="n">
        <v>3</v>
      </c>
      <c r="F17" s="49" t="inlineStr">
        <is>
          <t>Compliant</t>
        </is>
      </c>
      <c r="G17" s="52" t="inlineStr">
        <is>
          <t>Nonce/IV handling is delegated to TLS; no app-level IV reuse.</t>
        </is>
      </c>
      <c r="H17" s="52" t="n"/>
    </row>
    <row r="18" ht="30" customHeight="1" s="28">
      <c r="A18" s="45" t="inlineStr">
        <is>
          <t>V11.3</t>
        </is>
      </c>
      <c r="B18" s="45" t="inlineStr">
        <is>
          <t>Encryption Algorithms</t>
        </is>
      </c>
      <c r="C18" s="46" t="inlineStr">
        <is>
          <t>V11.3.5</t>
        </is>
      </c>
      <c r="D18" s="47" t="inlineStr">
        <is>
          <t>Verify that any combination of an encryption algorithm and a MAC algorithm is operating in encrypt-then-MAC mode.</t>
        </is>
      </c>
      <c r="E18" s="54" t="n">
        <v>3</v>
      </c>
      <c r="F18" s="49" t="inlineStr">
        <is>
          <t>Not Applicable</t>
        </is>
      </c>
      <c r="G18" s="47" t="inlineStr">
        <is>
          <t>AEAD (GCM) is used; no separate encrypt+MAC composition exists to order.</t>
        </is>
      </c>
      <c r="H18" s="47" t="n"/>
    </row>
    <row r="19" ht="18" customHeight="1" s="28">
      <c r="A19" s="44" t="inlineStr">
        <is>
          <t>V11.4</t>
        </is>
      </c>
      <c r="B19" s="44" t="inlineStr">
        <is>
          <t>Hashing and Hash-based Functions</t>
        </is>
      </c>
      <c r="C19" s="44" t="n"/>
      <c r="D19" s="44" t="n"/>
      <c r="E19" s="44" t="n"/>
      <c r="F19" s="44" t="n"/>
      <c r="G19" s="44" t="n"/>
      <c r="H19" s="44" t="n"/>
    </row>
    <row r="20" ht="30" customHeight="1" s="28">
      <c r="A20" s="45" t="inlineStr">
        <is>
          <t>V11.4</t>
        </is>
      </c>
      <c r="B20" s="45" t="inlineStr">
        <is>
          <t>Hashing and Hash-based Functions</t>
        </is>
      </c>
      <c r="C20" s="46" t="inlineStr">
        <is>
          <t>V11.4.1</t>
        </is>
      </c>
      <c r="D20" s="47" t="inlineStr">
        <is>
          <t>Verify that only approved hash functions are used for general cryptographic use cases, including digital signatures, HMAC, KDF, and random bit generation. Disallowed hash functions, such as MD5, must not be used for any cryptographic purpose.</t>
        </is>
      </c>
      <c r="E20" s="53" t="n">
        <v>1</v>
      </c>
      <c r="F20" s="49" t="inlineStr">
        <is>
          <t>Compliant</t>
        </is>
      </c>
      <c r="G20" s="47" t="inlineStr">
        <is>
          <t>SHA-256 used for integrity and reset-token hashing; SHA-1 is used only for the HIBP k-anonymity range query (not for security), and is documented.</t>
        </is>
      </c>
      <c r="H20" s="47" t="n"/>
    </row>
    <row r="21" ht="30" customHeight="1" s="28">
      <c r="A21" s="50" t="inlineStr">
        <is>
          <t>V11.4</t>
        </is>
      </c>
      <c r="B21" s="50" t="inlineStr">
        <is>
          <t>Hashing and Hash-based Functions</t>
        </is>
      </c>
      <c r="C21" s="51" t="inlineStr">
        <is>
          <t>V11.4.2</t>
        </is>
      </c>
      <c r="D21" s="52"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48" t="n">
        <v>2</v>
      </c>
      <c r="F21" s="49" t="inlineStr">
        <is>
          <t>Compliant</t>
        </is>
      </c>
      <c r="G21" s="52" t="inlineStr">
        <is>
          <t>Passwords hashed with bcrypt (per-password salt) - a computationally intensive password hashing function (SR-AUTH-02).</t>
        </is>
      </c>
      <c r="H21" s="52" t="n"/>
    </row>
    <row r="22" ht="30" customHeight="1" s="28">
      <c r="A22" s="45" t="inlineStr">
        <is>
          <t>V11.4</t>
        </is>
      </c>
      <c r="B22" s="45" t="inlineStr">
        <is>
          <t>Hashing and Hash-based Functions</t>
        </is>
      </c>
      <c r="C22" s="46" t="inlineStr">
        <is>
          <t>V11.4.3</t>
        </is>
      </c>
      <c r="D22" s="47"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48" t="n">
        <v>2</v>
      </c>
      <c r="F22" s="49" t="inlineStr">
        <is>
          <t>Compliant</t>
        </is>
      </c>
      <c r="G22" s="47" t="inlineStr">
        <is>
          <t>SHA-256 (256-bit) used for file/invoice integrity and within HS256.</t>
        </is>
      </c>
      <c r="H22" s="47" t="n"/>
    </row>
    <row r="23" ht="30" customHeight="1" s="28">
      <c r="A23" s="50" t="inlineStr">
        <is>
          <t>V11.4</t>
        </is>
      </c>
      <c r="B23" s="50" t="inlineStr">
        <is>
          <t>Hashing and Hash-based Functions</t>
        </is>
      </c>
      <c r="C23" s="51" t="inlineStr">
        <is>
          <t>V11.4.4</t>
        </is>
      </c>
      <c r="D23" s="52"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48" t="n">
        <v>2</v>
      </c>
      <c r="F23" s="49" t="inlineStr">
        <is>
          <t>Compliant</t>
        </is>
      </c>
      <c r="G23" s="52" t="inlineStr">
        <is>
          <t>bcrypt provides key stretching when deriving from passwords.</t>
        </is>
      </c>
      <c r="H23" s="52" t="n"/>
    </row>
    <row r="24" ht="18" customHeight="1" s="28">
      <c r="A24" s="44" t="inlineStr">
        <is>
          <t>V11.5</t>
        </is>
      </c>
      <c r="B24" s="44" t="inlineStr">
        <is>
          <t>Random Values</t>
        </is>
      </c>
      <c r="C24" s="44" t="n"/>
      <c r="D24" s="44" t="n"/>
      <c r="E24" s="44" t="n"/>
      <c r="F24" s="44" t="n"/>
      <c r="G24" s="44" t="n"/>
      <c r="H24" s="44" t="n"/>
    </row>
    <row r="25" ht="30" customHeight="1" s="28">
      <c r="A25" s="45" t="inlineStr">
        <is>
          <t>V11.5</t>
        </is>
      </c>
      <c r="B25" s="45" t="inlineStr">
        <is>
          <t>Random Values</t>
        </is>
      </c>
      <c r="C25" s="46" t="inlineStr">
        <is>
          <t>V11.5.1</t>
        </is>
      </c>
      <c r="D25" s="47"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48" t="n">
        <v>2</v>
      </c>
      <c r="F25" s="49" t="inlineStr">
        <is>
          <t>Compliant</t>
        </is>
      </c>
      <c r="G25" s="47" t="inlineStr">
        <is>
          <t>Reset tokens use secrets.token_urlsafe(32) (CSPRNG, 256-bit). Resource identifiers use uuid4 (acknowledged as identifiers, not secrets).</t>
        </is>
      </c>
      <c r="H25" s="47" t="n"/>
    </row>
    <row r="26" ht="30" customHeight="1" s="28">
      <c r="A26" s="50" t="inlineStr">
        <is>
          <t>V11.5</t>
        </is>
      </c>
      <c r="B26" s="50" t="inlineStr">
        <is>
          <t>Random Values</t>
        </is>
      </c>
      <c r="C26" s="51" t="inlineStr">
        <is>
          <t>V11.5.2</t>
        </is>
      </c>
      <c r="D26" s="52" t="inlineStr">
        <is>
          <t>Verify that the random number generation mechanism in use is designed to work securely, even under heavy demand.</t>
        </is>
      </c>
      <c r="E26" s="54" t="n">
        <v>3</v>
      </c>
      <c r="F26" s="49" t="inlineStr">
        <is>
          <t>Compliant</t>
        </is>
      </c>
      <c r="G26" s="52" t="inlineStr">
        <is>
          <t>Randomness sourced from the OS CSPRNG (secrets/os.urandom).</t>
        </is>
      </c>
      <c r="H26" s="52" t="n"/>
    </row>
    <row r="27" ht="18" customHeight="1" s="28">
      <c r="A27" s="44" t="inlineStr">
        <is>
          <t>V11.6</t>
        </is>
      </c>
      <c r="B27" s="44" t="inlineStr">
        <is>
          <t>Public Key Cryptography</t>
        </is>
      </c>
      <c r="C27" s="44" t="n"/>
      <c r="D27" s="44" t="n"/>
      <c r="E27" s="44" t="n"/>
      <c r="F27" s="44" t="n"/>
      <c r="G27" s="44" t="n"/>
      <c r="H27" s="44" t="n"/>
    </row>
    <row r="28" ht="30" customHeight="1" s="28">
      <c r="A28" s="45" t="inlineStr">
        <is>
          <t>V11.6</t>
        </is>
      </c>
      <c r="B28" s="45" t="inlineStr">
        <is>
          <t>Public Key Cryptography</t>
        </is>
      </c>
      <c r="C28" s="46" t="inlineStr">
        <is>
          <t>V11.6.1</t>
        </is>
      </c>
      <c r="D28" s="47"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48" t="n">
        <v>2</v>
      </c>
      <c r="F28" s="49" t="inlineStr">
        <is>
          <t>Compliant</t>
        </is>
      </c>
      <c r="G28" s="47" t="inlineStr">
        <is>
          <t>HMAC-SHA256 (HS256) for tokens; TLS certificate key generation handled by the PKI/Let's Encrypt.</t>
        </is>
      </c>
      <c r="H28" s="47" t="n"/>
    </row>
    <row r="29" ht="30" customHeight="1" s="28">
      <c r="A29" s="50" t="inlineStr">
        <is>
          <t>V11.6</t>
        </is>
      </c>
      <c r="B29" s="50" t="inlineStr">
        <is>
          <t>Public Key Cryptography</t>
        </is>
      </c>
      <c r="C29" s="51" t="inlineStr">
        <is>
          <t>V11.6.2</t>
        </is>
      </c>
      <c r="D29" s="52"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54" t="n">
        <v>3</v>
      </c>
      <c r="F29" s="49" t="inlineStr">
        <is>
          <t>Compliant</t>
        </is>
      </c>
      <c r="G29" s="52" t="inlineStr">
        <is>
          <t>TLS 1.2/1.3 with ECDHE key exchange (forward secrecy) configured in nginx.</t>
        </is>
      </c>
      <c r="H29" s="52" t="n"/>
    </row>
    <row r="30" ht="18" customHeight="1" s="28">
      <c r="A30" s="44" t="inlineStr">
        <is>
          <t>V11.7</t>
        </is>
      </c>
      <c r="B30" s="44" t="inlineStr">
        <is>
          <t>In-Use Data Cryptography</t>
        </is>
      </c>
      <c r="C30" s="44" t="n"/>
      <c r="D30" s="44" t="n"/>
      <c r="E30" s="44" t="n"/>
      <c r="F30" s="44" t="n"/>
      <c r="G30" s="44" t="n"/>
      <c r="H30" s="44" t="n"/>
    </row>
    <row r="31" ht="30" customHeight="1" s="28">
      <c r="A31" s="45" t="inlineStr">
        <is>
          <t>V11.7</t>
        </is>
      </c>
      <c r="B31" s="45" t="inlineStr">
        <is>
          <t>In-Use Data Cryptography</t>
        </is>
      </c>
      <c r="C31" s="46" t="inlineStr">
        <is>
          <t>V11.7.1</t>
        </is>
      </c>
      <c r="D31" s="47" t="inlineStr">
        <is>
          <t>Verify that full memory encryption is in use that protects sensitive data while it is in use, preventing access by unauthorized users or processes.</t>
        </is>
      </c>
      <c r="E31" s="54" t="n">
        <v>3</v>
      </c>
      <c r="F31" s="49" t="inlineStr">
        <is>
          <t>Not Started</t>
        </is>
      </c>
      <c r="G31" s="47" t="inlineStr">
        <is>
          <t>No full-memory/confidential-computing encryption in the deployment model.</t>
        </is>
      </c>
      <c r="H31" s="47" t="n"/>
    </row>
    <row r="32" ht="30" customHeight="1" s="28">
      <c r="A32" s="50" t="inlineStr">
        <is>
          <t>V11.7</t>
        </is>
      </c>
      <c r="B32" s="50" t="inlineStr">
        <is>
          <t>In-Use Data Cryptography</t>
        </is>
      </c>
      <c r="C32" s="51" t="inlineStr">
        <is>
          <t>V11.7.2</t>
        </is>
      </c>
      <c r="D32" s="52" t="inlineStr">
        <is>
          <t>Verify that data minimization ensures the minimal amount of data is exposed during processing, and ensure that data is encrypted immediately after use or as soon as feasible.</t>
        </is>
      </c>
      <c r="E32" s="54" t="n">
        <v>3</v>
      </c>
      <c r="F32" s="49" t="inlineStr">
        <is>
          <t>In Progress</t>
        </is>
      </c>
      <c r="G32" s="52" t="inlineStr">
        <is>
          <t>Response schemas limit exposed data; explicit encrypt-immediately-after-use of in-process data is not implemented.</t>
        </is>
      </c>
      <c r="H32" s="52" t="n"/>
    </row>
  </sheetData>
  <conditionalFormatting sqref="F2:F32">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32"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V12.1</t>
        </is>
      </c>
      <c r="B2" s="44" t="inlineStr">
        <is>
          <t>General TLS Security Guidance</t>
        </is>
      </c>
      <c r="C2" s="44" t="n"/>
      <c r="D2" s="44" t="n"/>
      <c r="E2" s="44" t="n"/>
      <c r="F2" s="44" t="n"/>
      <c r="G2" s="44" t="n"/>
      <c r="H2" s="44" t="n"/>
    </row>
    <row r="3" ht="30" customHeight="1" s="28">
      <c r="A3" s="45" t="inlineStr">
        <is>
          <t>V12.1</t>
        </is>
      </c>
      <c r="B3" s="45" t="inlineStr">
        <is>
          <t>General TLS Security Guidance</t>
        </is>
      </c>
      <c r="C3" s="46" t="inlineStr">
        <is>
          <t>V12.1.1</t>
        </is>
      </c>
      <c r="D3" s="47" t="inlineStr">
        <is>
          <t>Verify that only the latest recommended versions of the TLS protocol are enabled, such as TLS 1.2 and TLS 1.3. The latest version of the TLS protocol must be the preferred option.</t>
        </is>
      </c>
      <c r="E3" s="53" t="n">
        <v>1</v>
      </c>
      <c r="F3" s="49" t="inlineStr">
        <is>
          <t>Compliant</t>
        </is>
      </c>
      <c r="G3" s="47" t="inlineStr">
        <is>
          <t>nginx enables only TLS 1.2 and 1.3 (SR-COMM-01).</t>
        </is>
      </c>
      <c r="H3" s="47" t="n"/>
    </row>
    <row r="4" ht="30" customHeight="1" s="28">
      <c r="A4" s="50" t="inlineStr">
        <is>
          <t>V12.1</t>
        </is>
      </c>
      <c r="B4" s="50" t="inlineStr">
        <is>
          <t>General TLS Security Guidance</t>
        </is>
      </c>
      <c r="C4" s="51" t="inlineStr">
        <is>
          <t>V12.1.2</t>
        </is>
      </c>
      <c r="D4" s="52" t="inlineStr">
        <is>
          <t>Verify that only recommended cipher suites are enabled, with the strongest cipher suites set as preferred. L3 applications must only support cipher suites which provide forward secrecy.</t>
        </is>
      </c>
      <c r="E4" s="48" t="n">
        <v>2</v>
      </c>
      <c r="F4" s="49" t="inlineStr">
        <is>
          <t>Compliant</t>
        </is>
      </c>
      <c r="G4" s="52" t="inlineStr">
        <is>
          <t>Recommended ECDHE AES-GCM / CHACHA20 cipher suites with forward secrecy configured in nginx.</t>
        </is>
      </c>
      <c r="H4" s="52" t="n"/>
    </row>
    <row r="5" ht="30" customHeight="1" s="28">
      <c r="A5" s="45" t="inlineStr">
        <is>
          <t>V12.1</t>
        </is>
      </c>
      <c r="B5" s="45" t="inlineStr">
        <is>
          <t>General TLS Security Guidance</t>
        </is>
      </c>
      <c r="C5" s="46" t="inlineStr">
        <is>
          <t>V12.1.3</t>
        </is>
      </c>
      <c r="D5" s="47" t="inlineStr">
        <is>
          <t>Verify that the application validates that mTLS client certificates are trusted before using the certificate identity for authentication or authorization.</t>
        </is>
      </c>
      <c r="E5" s="48" t="n">
        <v>2</v>
      </c>
      <c r="F5" s="49" t="inlineStr">
        <is>
          <t>Not Applicable</t>
        </is>
      </c>
      <c r="G5" s="47" t="inlineStr">
        <is>
          <t>No mutual-TLS client-certificate authentication in scope.</t>
        </is>
      </c>
      <c r="H5" s="47" t="n"/>
    </row>
    <row r="6" ht="30" customHeight="1" s="28">
      <c r="A6" s="50" t="inlineStr">
        <is>
          <t>V12.1</t>
        </is>
      </c>
      <c r="B6" s="50" t="inlineStr">
        <is>
          <t>General TLS Security Guidance</t>
        </is>
      </c>
      <c r="C6" s="51" t="inlineStr">
        <is>
          <t>V12.1.4</t>
        </is>
      </c>
      <c r="D6" s="52" t="inlineStr">
        <is>
          <t>Verify that proper certification revocation, such as Online Certificate Status Protocol (OCSP) Stapling, is enabled and configured.</t>
        </is>
      </c>
      <c r="E6" s="54" t="n">
        <v>3</v>
      </c>
      <c r="F6" s="49" t="inlineStr">
        <is>
          <t>Not Started</t>
        </is>
      </c>
      <c r="G6" s="52" t="inlineStr">
        <is>
          <t>OCSP stapling / revocation checking not configured.</t>
        </is>
      </c>
      <c r="H6" s="52" t="n"/>
    </row>
    <row r="7" ht="30" customHeight="1" s="28">
      <c r="A7" s="45" t="inlineStr">
        <is>
          <t>V12.1</t>
        </is>
      </c>
      <c r="B7" s="45" t="inlineStr">
        <is>
          <t>General TLS Security Guidance</t>
        </is>
      </c>
      <c r="C7" s="46" t="inlineStr">
        <is>
          <t>V12.1.5</t>
        </is>
      </c>
      <c r="D7" s="47" t="inlineStr">
        <is>
          <t>Verify that Encrypted Client Hello (ECH) is enabled in the application's TLS settings to prevent exposure of sensitive metadata, such as the Server Name Indication (SNI), during TLS handshake processes.</t>
        </is>
      </c>
      <c r="E7" s="54" t="n">
        <v>3</v>
      </c>
      <c r="F7" s="49" t="inlineStr">
        <is>
          <t>Not Started</t>
        </is>
      </c>
      <c r="G7" s="47" t="inlineStr">
        <is>
          <t>Encrypted Client Hello (ECH) not configured.</t>
        </is>
      </c>
      <c r="H7" s="47" t="n"/>
    </row>
    <row r="8" ht="18" customHeight="1" s="28">
      <c r="A8" s="44" t="inlineStr">
        <is>
          <t>V12.2</t>
        </is>
      </c>
      <c r="B8" s="44" t="inlineStr">
        <is>
          <t>HTTPS Communication with External Facing Services</t>
        </is>
      </c>
      <c r="C8" s="44" t="n"/>
      <c r="D8" s="44" t="n"/>
      <c r="E8" s="44" t="n"/>
      <c r="F8" s="44" t="n"/>
      <c r="G8" s="44" t="n"/>
      <c r="H8" s="44" t="n"/>
    </row>
    <row r="9" ht="30" customHeight="1" s="28">
      <c r="A9" s="45" t="inlineStr">
        <is>
          <t>V12.2</t>
        </is>
      </c>
      <c r="B9" s="45" t="inlineStr">
        <is>
          <t>HTTPS Communication with External Facing Services</t>
        </is>
      </c>
      <c r="C9" s="46" t="inlineStr">
        <is>
          <t>V12.2.1</t>
        </is>
      </c>
      <c r="D9" s="47" t="inlineStr">
        <is>
          <t>Verify that TLS is used for all connectivity between a client and external facing, HTTP-based services, and does not fall back to insecure or unencrypted communications.</t>
        </is>
      </c>
      <c r="E9" s="53" t="n">
        <v>1</v>
      </c>
      <c r="F9" s="49" t="inlineStr">
        <is>
          <t>Compliant</t>
        </is>
      </c>
      <c r="G9" s="47" t="inlineStr">
        <is>
          <t>All client traffic is HTTPS; HTTP is 301-redirected; no plaintext fallback (SR-COMM-01).</t>
        </is>
      </c>
      <c r="H9" s="47" t="n"/>
    </row>
    <row r="10" ht="30" customHeight="1" s="28">
      <c r="A10" s="50" t="inlineStr">
        <is>
          <t>V12.2</t>
        </is>
      </c>
      <c r="B10" s="50" t="inlineStr">
        <is>
          <t>HTTPS Communication with External Facing Services</t>
        </is>
      </c>
      <c r="C10" s="51" t="inlineStr">
        <is>
          <t>V12.2.2</t>
        </is>
      </c>
      <c r="D10" s="52" t="inlineStr">
        <is>
          <t>Verify that external facing services use publicly trusted TLS certificates.</t>
        </is>
      </c>
      <c r="E10" s="53" t="n">
        <v>1</v>
      </c>
      <c r="F10" s="49" t="inlineStr">
        <is>
          <t>Compliant</t>
        </is>
      </c>
      <c r="G10" s="52" t="inlineStr">
        <is>
          <t>nginx is configured for Let's Encrypt (ACME HTTP-01) publicly trusted certificates in production; self-signed only for dev.</t>
        </is>
      </c>
      <c r="H10" s="52" t="n"/>
    </row>
    <row r="11" ht="18" customHeight="1" s="28">
      <c r="A11" s="44" t="inlineStr">
        <is>
          <t>V12.3</t>
        </is>
      </c>
      <c r="B11" s="44" t="inlineStr">
        <is>
          <t>General Service to Service Communication Security</t>
        </is>
      </c>
      <c r="C11" s="44" t="n"/>
      <c r="D11" s="44" t="n"/>
      <c r="E11" s="44" t="n"/>
      <c r="F11" s="44" t="n"/>
      <c r="G11" s="44" t="n"/>
      <c r="H11" s="44" t="n"/>
    </row>
    <row r="12" ht="30" customHeight="1" s="28">
      <c r="A12" s="45" t="inlineStr">
        <is>
          <t>V12.3</t>
        </is>
      </c>
      <c r="B12" s="45" t="inlineStr">
        <is>
          <t>General Service to Service Communication Security</t>
        </is>
      </c>
      <c r="C12" s="46" t="inlineStr">
        <is>
          <t>V12.3.1</t>
        </is>
      </c>
      <c r="D12" s="47"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48" t="n">
        <v>2</v>
      </c>
      <c r="F12" s="49" t="inlineStr">
        <is>
          <t>In Progress</t>
        </is>
      </c>
      <c r="G12" s="47" t="inlineStr">
        <is>
          <t>Client-facing TLS enforced and outbound HIBP call uses HTTPS; the app-&gt;PostgreSQL connection does not enforce sslmode=require (SR-COMM-03 not implemented).</t>
        </is>
      </c>
      <c r="H12" s="47" t="n"/>
    </row>
    <row r="13" ht="30" customHeight="1" s="28">
      <c r="A13" s="50" t="inlineStr">
        <is>
          <t>V12.3</t>
        </is>
      </c>
      <c r="B13" s="50" t="inlineStr">
        <is>
          <t>General Service to Service Communication Security</t>
        </is>
      </c>
      <c r="C13" s="51" t="inlineStr">
        <is>
          <t>V12.3.2</t>
        </is>
      </c>
      <c r="D13" s="52" t="inlineStr">
        <is>
          <t>Verify that TLS clients validate certificates received before communicating with a TLS server.</t>
        </is>
      </c>
      <c r="E13" s="48" t="n">
        <v>2</v>
      </c>
      <c r="F13" s="49" t="inlineStr">
        <is>
          <t>In Progress</t>
        </is>
      </c>
      <c r="G13" s="52" t="inlineStr">
        <is>
          <t>httpx validates the HIBP server certificate; DB-side TLS is not enabled.</t>
        </is>
      </c>
      <c r="H13" s="52" t="n"/>
    </row>
    <row r="14" ht="30" customHeight="1" s="28">
      <c r="A14" s="45" t="inlineStr">
        <is>
          <t>V12.3</t>
        </is>
      </c>
      <c r="B14" s="45" t="inlineStr">
        <is>
          <t>General Service to Service Communication Security</t>
        </is>
      </c>
      <c r="C14" s="46" t="inlineStr">
        <is>
          <t>V12.3.3</t>
        </is>
      </c>
      <c r="D14" s="47" t="inlineStr">
        <is>
          <t>Verify that TLS or another appropriate transport encryption mechanism used for all connectivity between internal, HTTP-based services within the application, and does not fall back to insecure or unencrypted communications.</t>
        </is>
      </c>
      <c r="E14" s="48" t="n">
        <v>2</v>
      </c>
      <c r="F14" s="49" t="inlineStr">
        <is>
          <t>In Progress</t>
        </is>
      </c>
      <c r="G14" s="47" t="inlineStr">
        <is>
          <t>nginx-&gt;app traffic is plaintext HTTP over the isolated internal Docker network (app not exposed); internal TLS is not used.</t>
        </is>
      </c>
      <c r="H14" s="47" t="n"/>
    </row>
    <row r="15" ht="30" customHeight="1" s="28">
      <c r="A15" s="50" t="inlineStr">
        <is>
          <t>V12.3</t>
        </is>
      </c>
      <c r="B15" s="50" t="inlineStr">
        <is>
          <t>General Service to Service Communication Security</t>
        </is>
      </c>
      <c r="C15" s="51" t="inlineStr">
        <is>
          <t>V12.3.4</t>
        </is>
      </c>
      <c r="D15" s="52"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48" t="n">
        <v>2</v>
      </c>
      <c r="F15" s="49" t="inlineStr">
        <is>
          <t>In Progress</t>
        </is>
      </c>
      <c r="G15" s="52" t="inlineStr">
        <is>
          <t>Follows from V12.3.3: internal service-to-service traffic is not TLS, so no internal trusted-cert validation is performed.</t>
        </is>
      </c>
      <c r="H15" s="52" t="n"/>
    </row>
    <row r="16" ht="30" customHeight="1" s="28">
      <c r="A16" s="45" t="inlineStr">
        <is>
          <t>V12.3</t>
        </is>
      </c>
      <c r="B16" s="45" t="inlineStr">
        <is>
          <t>General Service to Service Communication Security</t>
        </is>
      </c>
      <c r="C16" s="46" t="inlineStr">
        <is>
          <t>V12.3.5</t>
        </is>
      </c>
      <c r="D16" s="47"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54" t="n">
        <v>3</v>
      </c>
      <c r="F16" s="49" t="inlineStr">
        <is>
          <t>Not Started</t>
        </is>
      </c>
      <c r="G16" s="47" t="inlineStr">
        <is>
          <t>No intra-service strong authentication (mTLS/service mesh).</t>
        </is>
      </c>
      <c r="H16" s="47" t="n"/>
    </row>
  </sheetData>
  <conditionalFormatting sqref="F2:F16">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16"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H26"/>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V13.1</t>
        </is>
      </c>
      <c r="B2" s="44" t="inlineStr">
        <is>
          <t>Configuration Documentation</t>
        </is>
      </c>
      <c r="C2" s="44" t="n"/>
      <c r="D2" s="44" t="n"/>
      <c r="E2" s="44" t="n"/>
      <c r="F2" s="44" t="n"/>
      <c r="G2" s="44" t="n"/>
      <c r="H2" s="44" t="n"/>
    </row>
    <row r="3" ht="30" customHeight="1" s="28">
      <c r="A3" s="45" t="inlineStr">
        <is>
          <t>V13.1</t>
        </is>
      </c>
      <c r="B3" s="45" t="inlineStr">
        <is>
          <t>Configuration Documentation</t>
        </is>
      </c>
      <c r="C3" s="46" t="inlineStr">
        <is>
          <t>V13.1.1</t>
        </is>
      </c>
      <c r="D3" s="47"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48" t="n">
        <v>2</v>
      </c>
      <c r="F3" s="49" t="inlineStr">
        <is>
          <t>Compliant</t>
        </is>
      </c>
      <c r="G3" s="47" t="inlineStr">
        <is>
          <t>The report documents external dependencies (PostgreSQL, HIBP) and the data flows/communication needs.</t>
        </is>
      </c>
      <c r="H3" s="47" t="n"/>
    </row>
    <row r="4" ht="30" customHeight="1" s="28">
      <c r="A4" s="50" t="inlineStr">
        <is>
          <t>V13.1</t>
        </is>
      </c>
      <c r="B4" s="50" t="inlineStr">
        <is>
          <t>Configuration Documentation</t>
        </is>
      </c>
      <c r="C4" s="51" t="inlineStr">
        <is>
          <t>V13.1.2</t>
        </is>
      </c>
      <c r="D4" s="52"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54" t="n">
        <v>3</v>
      </c>
      <c r="F4" s="49" t="inlineStr">
        <is>
          <t>In Progress</t>
        </is>
      </c>
      <c r="G4" s="52" t="inlineStr">
        <is>
          <t>A DB connection pool is configured (pool_size 5, max_overflow 10, pool_recycle 1800) but behavior at the limit is not documented.</t>
        </is>
      </c>
      <c r="H4" s="52" t="n"/>
    </row>
    <row r="5" ht="30" customHeight="1" s="28">
      <c r="A5" s="45" t="inlineStr">
        <is>
          <t>V13.1</t>
        </is>
      </c>
      <c r="B5" s="45" t="inlineStr">
        <is>
          <t>Configuration Documentation</t>
        </is>
      </c>
      <c r="C5" s="46" t="inlineStr">
        <is>
          <t>V13.1.3</t>
        </is>
      </c>
      <c r="D5" s="47"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54" t="n">
        <v>3</v>
      </c>
      <c r="F5" s="49" t="inlineStr">
        <is>
          <t>In Progress</t>
        </is>
      </c>
      <c r="G5" s="47" t="inlineStr">
        <is>
          <t>HIBP call has a 5s timeout and fails open; pool_recycle set; resource-management strategy is not fully documented.</t>
        </is>
      </c>
      <c r="H5" s="47" t="n"/>
    </row>
    <row r="6" ht="30" customHeight="1" s="28">
      <c r="A6" s="50" t="inlineStr">
        <is>
          <t>V13.1</t>
        </is>
      </c>
      <c r="B6" s="50" t="inlineStr">
        <is>
          <t>Configuration Documentation</t>
        </is>
      </c>
      <c r="C6" s="51" t="inlineStr">
        <is>
          <t>V13.1.4</t>
        </is>
      </c>
      <c r="D6" s="52" t="inlineStr">
        <is>
          <t>Verify that the application's documentation defines the secrets that are critical for the security of the application and a schedule for rotating them, based on the organization's threat model and business requirements.</t>
        </is>
      </c>
      <c r="E6" s="54" t="n">
        <v>3</v>
      </c>
      <c r="F6" s="49" t="inlineStr">
        <is>
          <t>In Progress</t>
        </is>
      </c>
      <c r="G6" s="52" t="inlineStr">
        <is>
          <t>Critical secrets are identified (SECRET_KEY, DATABASE_URL); a rotation schedule is not documented.</t>
        </is>
      </c>
      <c r="H6" s="52" t="n"/>
    </row>
    <row r="7" ht="18" customHeight="1" s="28">
      <c r="A7" s="44" t="inlineStr">
        <is>
          <t>V13.2</t>
        </is>
      </c>
      <c r="B7" s="44" t="inlineStr">
        <is>
          <t>Backend Communication Configuration</t>
        </is>
      </c>
      <c r="C7" s="44" t="n"/>
      <c r="D7" s="44" t="n"/>
      <c r="E7" s="44" t="n"/>
      <c r="F7" s="44" t="n"/>
      <c r="G7" s="44" t="n"/>
      <c r="H7" s="44" t="n"/>
    </row>
    <row r="8" ht="30" customHeight="1" s="28">
      <c r="A8" s="45" t="inlineStr">
        <is>
          <t>V13.2</t>
        </is>
      </c>
      <c r="B8" s="45" t="inlineStr">
        <is>
          <t>Backend Communication Configuration</t>
        </is>
      </c>
      <c r="C8" s="46" t="inlineStr">
        <is>
          <t>V13.2.1</t>
        </is>
      </c>
      <c r="D8" s="47"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48" t="n">
        <v>2</v>
      </c>
      <c r="F8" s="49" t="inlineStr">
        <is>
          <t>In Progress</t>
        </is>
      </c>
      <c r="G8" s="47" t="inlineStr">
        <is>
          <t>DB auth uses a dedicated service credential from env (not default); certificate/short-lived-token service auth is not used.</t>
        </is>
      </c>
      <c r="H8" s="47" t="n"/>
    </row>
    <row r="9" ht="30" customHeight="1" s="28">
      <c r="A9" s="50" t="inlineStr">
        <is>
          <t>V13.2</t>
        </is>
      </c>
      <c r="B9" s="50" t="inlineStr">
        <is>
          <t>Backend Communication Configuration</t>
        </is>
      </c>
      <c r="C9" s="51" t="inlineStr">
        <is>
          <t>V13.2.2</t>
        </is>
      </c>
      <c r="D9" s="52" t="inlineStr">
        <is>
          <t>Verify that communications between backend application components, including local or operating system services, APIs, middleware, and data layers, are performed with accounts assigned the least necessary privileges.</t>
        </is>
      </c>
      <c r="E9" s="48" t="n">
        <v>2</v>
      </c>
      <c r="F9" s="49" t="inlineStr">
        <is>
          <t>In Progress</t>
        </is>
      </c>
      <c r="G9" s="52" t="inlineStr">
        <is>
          <t>A single application DB user with full DML is used; the least-privilege split (separate INSERT/SELECT-only audit user, SR-LOG-02) is designed but not implemented.</t>
        </is>
      </c>
      <c r="H9" s="52" t="n"/>
    </row>
    <row r="10" ht="30" customHeight="1" s="28">
      <c r="A10" s="45" t="inlineStr">
        <is>
          <t>V13.2</t>
        </is>
      </c>
      <c r="B10" s="45" t="inlineStr">
        <is>
          <t>Backend Communication Configuration</t>
        </is>
      </c>
      <c r="C10" s="46" t="inlineStr">
        <is>
          <t>V13.2.3</t>
        </is>
      </c>
      <c r="D10" s="47" t="inlineStr">
        <is>
          <t>Verify that if a credential has to be used for service authentication, the credential being used by the consumer is not a default credential (e.g., root/root or admin/admin).</t>
        </is>
      </c>
      <c r="E10" s="48" t="n">
        <v>2</v>
      </c>
      <c r="F10" s="49" t="inlineStr">
        <is>
          <t>Compliant</t>
        </is>
      </c>
      <c r="G10" s="47" t="inlineStr">
        <is>
          <t>App refuses to start without SECRET_KEY/DATABASE_URL; no default credentials (core/config.py); .env.example holds placeholders only.</t>
        </is>
      </c>
      <c r="H10" s="47" t="n"/>
    </row>
    <row r="11" ht="30" customHeight="1" s="28">
      <c r="A11" s="50" t="inlineStr">
        <is>
          <t>V13.2</t>
        </is>
      </c>
      <c r="B11" s="50" t="inlineStr">
        <is>
          <t>Backend Communication Configuration</t>
        </is>
      </c>
      <c r="C11" s="51" t="inlineStr">
        <is>
          <t>V13.2.4</t>
        </is>
      </c>
      <c r="D11" s="52"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48" t="n">
        <v>2</v>
      </c>
      <c r="F11" s="49" t="inlineStr">
        <is>
          <t>In Progress</t>
        </is>
      </c>
      <c r="G11" s="52" t="inlineStr">
        <is>
          <t>Outbound connections are limited to fixed endpoints (HIBP, DB); no formal network egress allow-list is enforced.</t>
        </is>
      </c>
      <c r="H11" s="52" t="n"/>
    </row>
    <row r="12" ht="30" customHeight="1" s="28">
      <c r="A12" s="45" t="inlineStr">
        <is>
          <t>V13.2</t>
        </is>
      </c>
      <c r="B12" s="45" t="inlineStr">
        <is>
          <t>Backend Communication Configuration</t>
        </is>
      </c>
      <c r="C12" s="46" t="inlineStr">
        <is>
          <t>V13.2.5</t>
        </is>
      </c>
      <c r="D12" s="47" t="inlineStr">
        <is>
          <t>Verify that the web or application server is configured with an allowlist of resources or systems to which the server can send requests or load data or files from.</t>
        </is>
      </c>
      <c r="E12" s="48" t="n">
        <v>2</v>
      </c>
      <c r="F12" s="49" t="inlineStr">
        <is>
          <t>In Progress</t>
        </is>
      </c>
      <c r="G12" s="47" t="inlineStr">
        <is>
          <t>No web/app-server egress allow-list configured; outbound is in practice limited to HIBP and the DB.</t>
        </is>
      </c>
      <c r="H12" s="47" t="n"/>
    </row>
    <row r="13" ht="30" customHeight="1" s="28">
      <c r="A13" s="50" t="inlineStr">
        <is>
          <t>V13.2</t>
        </is>
      </c>
      <c r="B13" s="50" t="inlineStr">
        <is>
          <t>Backend Communication Configuration</t>
        </is>
      </c>
      <c r="C13" s="51" t="inlineStr">
        <is>
          <t>V13.2.6</t>
        </is>
      </c>
      <c r="D13" s="52"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54" t="n">
        <v>3</v>
      </c>
      <c r="F13" s="49" t="inlineStr">
        <is>
          <t>In Progress</t>
        </is>
      </c>
      <c r="G13" s="52" t="inlineStr">
        <is>
          <t>Connection pool/timeout settings exist; not all documented connection behaviors are enforced/verified.</t>
        </is>
      </c>
      <c r="H13" s="52" t="n"/>
    </row>
    <row r="14" ht="18" customHeight="1" s="28">
      <c r="A14" s="44" t="inlineStr">
        <is>
          <t>V13.3</t>
        </is>
      </c>
      <c r="B14" s="44" t="inlineStr">
        <is>
          <t>Secret Management</t>
        </is>
      </c>
      <c r="C14" s="44" t="n"/>
      <c r="D14" s="44" t="n"/>
      <c r="E14" s="44" t="n"/>
      <c r="F14" s="44" t="n"/>
      <c r="G14" s="44" t="n"/>
      <c r="H14" s="44" t="n"/>
    </row>
    <row r="15" ht="30" customHeight="1" s="28">
      <c r="A15" s="45" t="inlineStr">
        <is>
          <t>V13.3</t>
        </is>
      </c>
      <c r="B15" s="45" t="inlineStr">
        <is>
          <t>Secret Management</t>
        </is>
      </c>
      <c r="C15" s="46" t="inlineStr">
        <is>
          <t>V13.3.1</t>
        </is>
      </c>
      <c r="D15" s="47"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48" t="n">
        <v>2</v>
      </c>
      <c r="F15" s="49" t="inlineStr">
        <is>
          <t>In Progress</t>
        </is>
      </c>
      <c r="G15" s="47" t="inlineStr">
        <is>
          <t>Secrets are provided via environment variables and .env is excluded from VCS (.gitignore) and the image (.dockerignore); no dedicated secrets vault/HSM is used.</t>
        </is>
      </c>
      <c r="H15" s="47" t="n"/>
    </row>
    <row r="16" ht="30" customHeight="1" s="28">
      <c r="A16" s="50" t="inlineStr">
        <is>
          <t>V13.3</t>
        </is>
      </c>
      <c r="B16" s="50" t="inlineStr">
        <is>
          <t>Secret Management</t>
        </is>
      </c>
      <c r="C16" s="51" t="inlineStr">
        <is>
          <t>V13.3.2</t>
        </is>
      </c>
      <c r="D16" s="52" t="inlineStr">
        <is>
          <t>Verify that access to secret assets adheres to the principle of least privilege.</t>
        </is>
      </c>
      <c r="E16" s="48" t="n">
        <v>2</v>
      </c>
      <c r="F16" s="49" t="inlineStr">
        <is>
          <t>In Progress</t>
        </is>
      </c>
      <c r="G16" s="52" t="inlineStr">
        <is>
          <t>Secrets are scoped to the container environment; access is not managed by a least-privilege secrets solution.</t>
        </is>
      </c>
      <c r="H16" s="52" t="n"/>
    </row>
    <row r="17" ht="30" customHeight="1" s="28">
      <c r="A17" s="45" t="inlineStr">
        <is>
          <t>V13.3</t>
        </is>
      </c>
      <c r="B17" s="45" t="inlineStr">
        <is>
          <t>Secret Management</t>
        </is>
      </c>
      <c r="C17" s="46" t="inlineStr">
        <is>
          <t>V13.3.3</t>
        </is>
      </c>
      <c r="D17" s="47" t="inlineStr">
        <is>
          <t>Verify that all cryptographic operations are performed using an isolated security module (such as a vault or hardware security module) to securely manage and protect key material from exposure outside of the security module.</t>
        </is>
      </c>
      <c r="E17" s="54" t="n">
        <v>3</v>
      </c>
      <c r="F17" s="49" t="inlineStr">
        <is>
          <t>Not Started</t>
        </is>
      </c>
      <c r="G17" s="47" t="inlineStr">
        <is>
          <t>No isolated security module/HSM for cryptographic operations.</t>
        </is>
      </c>
      <c r="H17" s="47" t="n"/>
    </row>
    <row r="18" ht="30" customHeight="1" s="28">
      <c r="A18" s="50" t="inlineStr">
        <is>
          <t>V13.3</t>
        </is>
      </c>
      <c r="B18" s="50" t="inlineStr">
        <is>
          <t>Secret Management</t>
        </is>
      </c>
      <c r="C18" s="51" t="inlineStr">
        <is>
          <t>V13.3.4</t>
        </is>
      </c>
      <c r="D18" s="52" t="inlineStr">
        <is>
          <t>Verify that secrets are configured to expire and be rotated based on the application's documentation.</t>
        </is>
      </c>
      <c r="E18" s="54" t="n">
        <v>3</v>
      </c>
      <c r="F18" s="49" t="inlineStr">
        <is>
          <t>Not Started</t>
        </is>
      </c>
      <c r="G18" s="52" t="inlineStr">
        <is>
          <t>No automatic secret expiry/rotation.</t>
        </is>
      </c>
      <c r="H18" s="52" t="n"/>
    </row>
    <row r="19" ht="18" customHeight="1" s="28">
      <c r="A19" s="44" t="inlineStr">
        <is>
          <t>V13.4</t>
        </is>
      </c>
      <c r="B19" s="44" t="inlineStr">
        <is>
          <t>Unintended Information Leakage</t>
        </is>
      </c>
      <c r="C19" s="44" t="n"/>
      <c r="D19" s="44" t="n"/>
      <c r="E19" s="44" t="n"/>
      <c r="F19" s="44" t="n"/>
      <c r="G19" s="44" t="n"/>
      <c r="H19" s="44" t="n"/>
    </row>
    <row r="20" ht="30" customHeight="1" s="28">
      <c r="A20" s="45" t="inlineStr">
        <is>
          <t>V13.4</t>
        </is>
      </c>
      <c r="B20" s="45" t="inlineStr">
        <is>
          <t>Unintended Information Leakage</t>
        </is>
      </c>
      <c r="C20" s="46" t="inlineStr">
        <is>
          <t>V13.4.1</t>
        </is>
      </c>
      <c r="D20" s="47" t="inlineStr">
        <is>
          <t>Verify that the application is deployed either without any source control metadata, including the .git or .svn folders, or in a way that these folders are inaccessible both externally and to the application itself.</t>
        </is>
      </c>
      <c r="E20" s="53" t="n">
        <v>1</v>
      </c>
      <c r="F20" s="49" t="inlineStr">
        <is>
          <t>Compliant</t>
        </is>
      </c>
      <c r="G20" s="47" t="inlineStr">
        <is>
          <t>.dockerignore excludes .git and .github from the production image.</t>
        </is>
      </c>
      <c r="H20" s="47" t="n"/>
    </row>
    <row r="21" ht="30" customHeight="1" s="28">
      <c r="A21" s="50" t="inlineStr">
        <is>
          <t>V13.4</t>
        </is>
      </c>
      <c r="B21" s="50" t="inlineStr">
        <is>
          <t>Unintended Information Leakage</t>
        </is>
      </c>
      <c r="C21" s="51" t="inlineStr">
        <is>
          <t>V13.4.2</t>
        </is>
      </c>
      <c r="D21" s="52" t="inlineStr">
        <is>
          <t>Verify that debug modes are disabled for all components in production environments to prevent exposure of debugging features and information leakage.</t>
        </is>
      </c>
      <c r="E21" s="48" t="n">
        <v>2</v>
      </c>
      <c r="F21" s="49" t="inlineStr">
        <is>
          <t>Compliant</t>
        </is>
      </c>
      <c r="G21" s="52" t="inlineStr">
        <is>
          <t>Production disables Swagger /docs and ReDoc (main.py) and runs without debug mode.</t>
        </is>
      </c>
      <c r="H21" s="52" t="n"/>
    </row>
    <row r="22" ht="30" customHeight="1" s="28">
      <c r="A22" s="45" t="inlineStr">
        <is>
          <t>V13.4</t>
        </is>
      </c>
      <c r="B22" s="45" t="inlineStr">
        <is>
          <t>Unintended Information Leakage</t>
        </is>
      </c>
      <c r="C22" s="46" t="inlineStr">
        <is>
          <t>V13.4.3</t>
        </is>
      </c>
      <c r="D22" s="47" t="inlineStr">
        <is>
          <t>Verify that web servers do not expose directory listings to clients unless explicitly intended.</t>
        </is>
      </c>
      <c r="E22" s="48" t="n">
        <v>2</v>
      </c>
      <c r="F22" s="49" t="inlineStr">
        <is>
          <t>Compliant</t>
        </is>
      </c>
      <c r="G22" s="47" t="inlineStr">
        <is>
          <t>No directory listing: nginx autoindex is off and the app exposes no listing.</t>
        </is>
      </c>
      <c r="H22" s="47" t="n"/>
    </row>
    <row r="23" ht="30" customHeight="1" s="28">
      <c r="A23" s="50" t="inlineStr">
        <is>
          <t>V13.4</t>
        </is>
      </c>
      <c r="B23" s="50" t="inlineStr">
        <is>
          <t>Unintended Information Leakage</t>
        </is>
      </c>
      <c r="C23" s="51" t="inlineStr">
        <is>
          <t>V13.4.4</t>
        </is>
      </c>
      <c r="D23" s="52" t="inlineStr">
        <is>
          <t>Verify that using the HTTP TRACE method is not supported in production environments, to avoid potential information leakage.</t>
        </is>
      </c>
      <c r="E23" s="48" t="n">
        <v>2</v>
      </c>
      <c r="F23" s="49" t="inlineStr">
        <is>
          <t>Compliant</t>
        </is>
      </c>
      <c r="G23" s="52" t="inlineStr">
        <is>
          <t>Only declared routes are served; HTTP TRACE is not handled (nginx/uvicorn).</t>
        </is>
      </c>
      <c r="H23" s="52" t="n"/>
    </row>
    <row r="24" ht="30" customHeight="1" s="28">
      <c r="A24" s="45" t="inlineStr">
        <is>
          <t>V13.4</t>
        </is>
      </c>
      <c r="B24" s="45" t="inlineStr">
        <is>
          <t>Unintended Information Leakage</t>
        </is>
      </c>
      <c r="C24" s="46" t="inlineStr">
        <is>
          <t>V13.4.5</t>
        </is>
      </c>
      <c r="D24" s="47" t="inlineStr">
        <is>
          <t>Verify that documentation (such as for internal APIs) and monitoring endpoints are not exposed unless explicitly intended.</t>
        </is>
      </c>
      <c r="E24" s="48" t="n">
        <v>2</v>
      </c>
      <c r="F24" s="49" t="inlineStr">
        <is>
          <t>Compliant</t>
        </is>
      </c>
      <c r="G24" s="47" t="inlineStr">
        <is>
          <t>/docs and ReDoc disabled in production; no monitoring endpoints exposed; health route returns minimal data.</t>
        </is>
      </c>
      <c r="H24" s="47" t="n"/>
    </row>
    <row r="25" ht="30" customHeight="1" s="28">
      <c r="A25" s="50" t="inlineStr">
        <is>
          <t>V13.4</t>
        </is>
      </c>
      <c r="B25" s="50" t="inlineStr">
        <is>
          <t>Unintended Information Leakage</t>
        </is>
      </c>
      <c r="C25" s="51" t="inlineStr">
        <is>
          <t>V13.4.6</t>
        </is>
      </c>
      <c r="D25" s="52" t="inlineStr">
        <is>
          <t>Verify that the application does not expose detailed version information of backend components.</t>
        </is>
      </c>
      <c r="E25" s="54" t="n">
        <v>3</v>
      </c>
      <c r="F25" s="49" t="inlineStr">
        <is>
          <t>Compliant</t>
        </is>
      </c>
      <c r="G25" s="52" t="inlineStr">
        <is>
          <t>nginx server_tokens off; framework/server version details are not disclosed.</t>
        </is>
      </c>
      <c r="H25" s="52" t="n"/>
    </row>
    <row r="26" ht="30" customHeight="1" s="28">
      <c r="A26" s="45" t="inlineStr">
        <is>
          <t>V13.4</t>
        </is>
      </c>
      <c r="B26" s="45" t="inlineStr">
        <is>
          <t>Unintended Information Leakage</t>
        </is>
      </c>
      <c r="C26" s="46" t="inlineStr">
        <is>
          <t>V13.4.7</t>
        </is>
      </c>
      <c r="D26" s="47" t="inlineStr">
        <is>
          <t>Verify that the web tier is configured to only serve files with specific file extensions to prevent unintentional information, configuration, and source code leakage.</t>
        </is>
      </c>
      <c r="E26" s="54" t="n">
        <v>3</v>
      </c>
      <c r="F26" s="49" t="inlineStr">
        <is>
          <t>Compliant</t>
        </is>
      </c>
      <c r="G26" s="47" t="inlineStr">
        <is>
          <t>The web tier proxies to the app; no arbitrary static file serving - only validated UUID image files are returned by the API.</t>
        </is>
      </c>
      <c r="H26" s="47" t="n"/>
    </row>
  </sheetData>
  <conditionalFormatting sqref="F2:F26">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26"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7"/>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V14.1</t>
        </is>
      </c>
      <c r="B2" s="44" t="inlineStr">
        <is>
          <t>Data Protection Documentation</t>
        </is>
      </c>
      <c r="C2" s="44" t="n"/>
      <c r="D2" s="44" t="n"/>
      <c r="E2" s="44" t="n"/>
      <c r="F2" s="44" t="n"/>
      <c r="G2" s="44" t="n"/>
      <c r="H2" s="44" t="n"/>
    </row>
    <row r="3" ht="30" customHeight="1" s="28">
      <c r="A3" s="45" t="inlineStr">
        <is>
          <t>V14.1</t>
        </is>
      </c>
      <c r="B3" s="45" t="inlineStr">
        <is>
          <t>Data Protection Documentation</t>
        </is>
      </c>
      <c r="C3" s="46" t="inlineStr">
        <is>
          <t>V14.1.1</t>
        </is>
      </c>
      <c r="D3" s="47"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48" t="n">
        <v>2</v>
      </c>
      <c r="F3" s="49" t="inlineStr">
        <is>
          <t>Compliant</t>
        </is>
      </c>
      <c r="G3" s="47" t="inlineStr">
        <is>
          <t>The Phase 1 report identifies and classifies sensitive data (credentials, tokens, PII, order/financial data).</t>
        </is>
      </c>
      <c r="H3" s="47" t="n"/>
    </row>
    <row r="4" ht="30" customHeight="1" s="28">
      <c r="A4" s="50" t="inlineStr">
        <is>
          <t>V14.1</t>
        </is>
      </c>
      <c r="B4" s="50" t="inlineStr">
        <is>
          <t>Data Protection Documentation</t>
        </is>
      </c>
      <c r="C4" s="51" t="inlineStr">
        <is>
          <t>V14.1.2</t>
        </is>
      </c>
      <c r="D4" s="52"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48" t="n">
        <v>2</v>
      </c>
      <c r="F4" s="49" t="inlineStr">
        <is>
          <t>In Progress</t>
        </is>
      </c>
      <c r="G4" s="52" t="inlineStr">
        <is>
          <t>Protection requirements are described across SR-DATA/SR-LOG; a formal per-protection-level requirements matrix is not maintained.</t>
        </is>
      </c>
      <c r="H4" s="52" t="n"/>
    </row>
    <row r="5" ht="18" customHeight="1" s="28">
      <c r="A5" s="44" t="inlineStr">
        <is>
          <t>V14.2</t>
        </is>
      </c>
      <c r="B5" s="44" t="inlineStr">
        <is>
          <t>General Data Protection</t>
        </is>
      </c>
      <c r="C5" s="44" t="n"/>
      <c r="D5" s="44" t="n"/>
      <c r="E5" s="44" t="n"/>
      <c r="F5" s="44" t="n"/>
      <c r="G5" s="44" t="n"/>
      <c r="H5" s="44" t="n"/>
    </row>
    <row r="6" ht="30" customHeight="1" s="28">
      <c r="A6" s="45" t="inlineStr">
        <is>
          <t>V14.2</t>
        </is>
      </c>
      <c r="B6" s="45" t="inlineStr">
        <is>
          <t>General Data Protection</t>
        </is>
      </c>
      <c r="C6" s="46" t="inlineStr">
        <is>
          <t>V14.2.1</t>
        </is>
      </c>
      <c r="D6" s="47" t="inlineStr">
        <is>
          <t>Verify that sensitive data is only sent to the server in the HTTP message body or header fields, and that the URL and query string do not contain sensitive information, such as an API key or session token.</t>
        </is>
      </c>
      <c r="E6" s="53" t="n">
        <v>1</v>
      </c>
      <c r="F6" s="49" t="inlineStr">
        <is>
          <t>Compliant</t>
        </is>
      </c>
      <c r="G6" s="47" t="inlineStr">
        <is>
          <t>JWTs are carried in the Authorization header; credentials/tokens are sent in the request body, never in URL/query strings.</t>
        </is>
      </c>
      <c r="H6" s="47" t="n"/>
    </row>
    <row r="7" ht="30" customHeight="1" s="28">
      <c r="A7" s="50" t="inlineStr">
        <is>
          <t>V14.2</t>
        </is>
      </c>
      <c r="B7" s="50" t="inlineStr">
        <is>
          <t>General Data Protection</t>
        </is>
      </c>
      <c r="C7" s="51" t="inlineStr">
        <is>
          <t>V14.2.2</t>
        </is>
      </c>
      <c r="D7" s="52" t="inlineStr">
        <is>
          <t>Verify that the application prevents sensitive data from being cached in server components, such as load balancers and application caches, or ensures that the data is securely purged after use.</t>
        </is>
      </c>
      <c r="E7" s="48" t="n">
        <v>2</v>
      </c>
      <c r="F7" s="49" t="inlineStr">
        <is>
          <t>In Progress</t>
        </is>
      </c>
      <c r="G7" s="52" t="inlineStr">
        <is>
          <t>No server-side caching of API responses; explicit Cache-Control: no-store on authenticated responses (SR-COMM-05) is not set.</t>
        </is>
      </c>
      <c r="H7" s="52" t="n"/>
    </row>
    <row r="8" ht="30" customHeight="1" s="28">
      <c r="A8" s="45" t="inlineStr">
        <is>
          <t>V14.2</t>
        </is>
      </c>
      <c r="B8" s="45" t="inlineStr">
        <is>
          <t>General Data Protection</t>
        </is>
      </c>
      <c r="C8" s="46" t="inlineStr">
        <is>
          <t>V14.2.3</t>
        </is>
      </c>
      <c r="D8" s="47" t="inlineStr">
        <is>
          <t>Verify that defined sensitive data is not sent to untrusted parties (e.g., user trackers) to prevent unwanted collection of data outside of the application's control.</t>
        </is>
      </c>
      <c r="E8" s="48" t="n">
        <v>2</v>
      </c>
      <c r="F8" s="49" t="inlineStr">
        <is>
          <t>Compliant</t>
        </is>
      </c>
      <c r="G8" s="47" t="inlineStr">
        <is>
          <t>No analytics/trackers; the only third-party call is the HIBP k-anonymity query (only a 5-char SHA-1 prefix leaves the server).</t>
        </is>
      </c>
      <c r="H8" s="47" t="n"/>
    </row>
    <row r="9" ht="30" customHeight="1" s="28">
      <c r="A9" s="50" t="inlineStr">
        <is>
          <t>V14.2</t>
        </is>
      </c>
      <c r="B9" s="50" t="inlineStr">
        <is>
          <t>General Data Protection</t>
        </is>
      </c>
      <c r="C9" s="51" t="inlineStr">
        <is>
          <t>V14.2.4</t>
        </is>
      </c>
      <c r="D9" s="52"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48" t="n">
        <v>2</v>
      </c>
      <c r="F9" s="49" t="inlineStr">
        <is>
          <t>In Progress</t>
        </is>
      </c>
      <c r="G9" s="52" t="inlineStr">
        <is>
          <t>Core controls implemented (bcrypt, TLS, secrets not logged); not every per-level control (e.g. DB-level encryption) is in place.</t>
        </is>
      </c>
      <c r="H9" s="52" t="n"/>
    </row>
    <row r="10" ht="30" customHeight="1" s="28">
      <c r="A10" s="45" t="inlineStr">
        <is>
          <t>V14.2</t>
        </is>
      </c>
      <c r="B10" s="45" t="inlineStr">
        <is>
          <t>General Data Protection</t>
        </is>
      </c>
      <c r="C10" s="46" t="inlineStr">
        <is>
          <t>V14.2.5</t>
        </is>
      </c>
      <c r="D10" s="47"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54" t="n">
        <v>3</v>
      </c>
      <c r="F10" s="49" t="inlineStr">
        <is>
          <t>In Progress</t>
        </is>
      </c>
      <c r="G10" s="47" t="inlineStr">
        <is>
          <t>No caching layer is configured; nginx returns proper 404s, but web-cache-deception hardening is not explicitly configured.</t>
        </is>
      </c>
      <c r="H10" s="47" t="n"/>
    </row>
    <row r="11" ht="30" customHeight="1" s="28">
      <c r="A11" s="50" t="inlineStr">
        <is>
          <t>V14.2</t>
        </is>
      </c>
      <c r="B11" s="50" t="inlineStr">
        <is>
          <t>General Data Protection</t>
        </is>
      </c>
      <c r="C11" s="51" t="inlineStr">
        <is>
          <t>V14.2.6</t>
        </is>
      </c>
      <c r="D11" s="52"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54" t="n">
        <v>3</v>
      </c>
      <c r="F11" s="49" t="inlineStr">
        <is>
          <t>In Progress</t>
        </is>
      </c>
      <c r="G11" s="52" t="inlineStr">
        <is>
          <t>Response schemas exclude secrets (no password hash returned); field-level masking (e.g. partial email) is not implemented.</t>
        </is>
      </c>
      <c r="H11" s="52" t="n"/>
    </row>
    <row r="12" ht="30" customHeight="1" s="28">
      <c r="A12" s="45" t="inlineStr">
        <is>
          <t>V14.2</t>
        </is>
      </c>
      <c r="B12" s="45" t="inlineStr">
        <is>
          <t>General Data Protection</t>
        </is>
      </c>
      <c r="C12" s="46" t="inlineStr">
        <is>
          <t>V14.2.7</t>
        </is>
      </c>
      <c r="D12" s="47" t="inlineStr">
        <is>
          <t>Verify that sensitive information is subject to data retention classification, ensuring that outdated or unnecessary data is deleted automatically, on a defined schedule, or as the situation requires.</t>
        </is>
      </c>
      <c r="E12" s="54" t="n">
        <v>3</v>
      </c>
      <c r="F12" s="49" t="inlineStr">
        <is>
          <t>Not Started</t>
        </is>
      </c>
      <c r="G12" s="47" t="inlineStr">
        <is>
          <t>Blacklist/reset-token cleanup is noted as a future periodic job; no automated retention/deletion is implemented.</t>
        </is>
      </c>
      <c r="H12" s="47" t="n"/>
    </row>
    <row r="13" ht="30" customHeight="1" s="28">
      <c r="A13" s="50" t="inlineStr">
        <is>
          <t>V14.2</t>
        </is>
      </c>
      <c r="B13" s="50" t="inlineStr">
        <is>
          <t>General Data Protection</t>
        </is>
      </c>
      <c r="C13" s="51" t="inlineStr">
        <is>
          <t>V14.2.8</t>
        </is>
      </c>
      <c r="D13" s="52" t="inlineStr">
        <is>
          <t>Verify that sensitive information is removed from the metadata of user-submitted files unless storage is consented to by the user.</t>
        </is>
      </c>
      <c r="E13" s="54" t="n">
        <v>3</v>
      </c>
      <c r="F13" s="49" t="inlineStr">
        <is>
          <t>Not Started</t>
        </is>
      </c>
      <c r="G13" s="52" t="inlineStr">
        <is>
          <t>EXIF/metadata is not stripped from uploaded images.</t>
        </is>
      </c>
      <c r="H13" s="52" t="n"/>
    </row>
    <row r="14" ht="18" customHeight="1" s="28">
      <c r="A14" s="44" t="inlineStr">
        <is>
          <t>V14.3</t>
        </is>
      </c>
      <c r="B14" s="44" t="inlineStr">
        <is>
          <t>Client-side Data Protection</t>
        </is>
      </c>
      <c r="C14" s="44" t="n"/>
      <c r="D14" s="44" t="n"/>
      <c r="E14" s="44" t="n"/>
      <c r="F14" s="44" t="n"/>
      <c r="G14" s="44" t="n"/>
      <c r="H14" s="44" t="n"/>
    </row>
    <row r="15" ht="30" customHeight="1" s="28">
      <c r="A15" s="45" t="inlineStr">
        <is>
          <t>V14.3</t>
        </is>
      </c>
      <c r="B15" s="45" t="inlineStr">
        <is>
          <t>Client-side Data Protection</t>
        </is>
      </c>
      <c r="C15" s="46" t="inlineStr">
        <is>
          <t>V14.3.1</t>
        </is>
      </c>
      <c r="D15" s="47"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53" t="n">
        <v>1</v>
      </c>
      <c r="F15" s="49" t="inlineStr">
        <is>
          <t>Not Applicable</t>
        </is>
      </c>
      <c r="G15" s="47" t="inlineStr">
        <is>
          <t>No cookies/browser storage are used by the API; client-side token disposal is the client's responsibility.</t>
        </is>
      </c>
      <c r="H15" s="47" t="n"/>
    </row>
    <row r="16" ht="30" customHeight="1" s="28">
      <c r="A16" s="50" t="inlineStr">
        <is>
          <t>V14.3</t>
        </is>
      </c>
      <c r="B16" s="50" t="inlineStr">
        <is>
          <t>Client-side Data Protection</t>
        </is>
      </c>
      <c r="C16" s="51" t="inlineStr">
        <is>
          <t>V14.3.2</t>
        </is>
      </c>
      <c r="D16" s="52" t="inlineStr">
        <is>
          <t>Verify that the application sets sufficient anti-caching HTTP response header fields (i.e., Cache-Control: no-store) so that sensitive data is not cached in browsers.</t>
        </is>
      </c>
      <c r="E16" s="48" t="n">
        <v>2</v>
      </c>
      <c r="F16" s="49" t="inlineStr">
        <is>
          <t>In Progress</t>
        </is>
      </c>
      <c r="G16" s="52" t="inlineStr">
        <is>
          <t>Cache-Control: no-store on sensitive responses (SR-COMM-05) is designed but not yet set by the app.</t>
        </is>
      </c>
      <c r="H16" s="52" t="n"/>
    </row>
    <row r="17" ht="30" customHeight="1" s="28">
      <c r="A17" s="45" t="inlineStr">
        <is>
          <t>V14.3</t>
        </is>
      </c>
      <c r="B17" s="45" t="inlineStr">
        <is>
          <t>Client-side Data Protection</t>
        </is>
      </c>
      <c r="C17" s="46" t="inlineStr">
        <is>
          <t>V14.3.3</t>
        </is>
      </c>
      <c r="D17" s="47" t="inlineStr">
        <is>
          <t>Verify that data stored in browser storage (such as localStorage, sessionStorage, IndexedDB, or cookies) does not contain sensitive data, with the exception of session tokens.</t>
        </is>
      </c>
      <c r="E17" s="48" t="n">
        <v>2</v>
      </c>
      <c r="F17" s="49" t="inlineStr">
        <is>
          <t>Not Applicable</t>
        </is>
      </c>
      <c r="G17" s="47" t="inlineStr">
        <is>
          <t>The API does not use browser storage.</t>
        </is>
      </c>
      <c r="H17" s="47" t="n"/>
    </row>
  </sheetData>
  <conditionalFormatting sqref="F2:F17">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17"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26"/>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V15.1</t>
        </is>
      </c>
      <c r="B2" s="44" t="inlineStr">
        <is>
          <t>Secure Coding and Architecture Documentation</t>
        </is>
      </c>
      <c r="C2" s="44" t="n"/>
      <c r="D2" s="44" t="n"/>
      <c r="E2" s="44" t="n"/>
      <c r="F2" s="44" t="n"/>
      <c r="G2" s="44" t="n"/>
      <c r="H2" s="44" t="n"/>
    </row>
    <row r="3" ht="30" customHeight="1" s="28">
      <c r="A3" s="45" t="inlineStr">
        <is>
          <t>V15.1</t>
        </is>
      </c>
      <c r="B3" s="45" t="inlineStr">
        <is>
          <t>Secure Coding and Architecture Documentation</t>
        </is>
      </c>
      <c r="C3" s="46" t="inlineStr">
        <is>
          <t>V15.1.1</t>
        </is>
      </c>
      <c r="D3" s="47" t="inlineStr">
        <is>
          <t>Verify that application documentation defines risk based remediation time frames for 3rd party component versions with vulnerabilities and for updating libraries in general, to minimize the risk from these components.</t>
        </is>
      </c>
      <c r="E3" s="53" t="n">
        <v>1</v>
      </c>
      <c r="F3" s="49" t="inlineStr">
        <is>
          <t>In Progress</t>
        </is>
      </c>
      <c r="G3" s="47" t="inlineStr">
        <is>
          <t>CI fails builds on dependency CVEs (pip-audit, sca-scan.yml); a formal risk-based remediation SLA is not documented.</t>
        </is>
      </c>
      <c r="H3" s="47" t="n"/>
    </row>
    <row r="4" ht="30" customHeight="1" s="28">
      <c r="A4" s="50" t="inlineStr">
        <is>
          <t>V15.1</t>
        </is>
      </c>
      <c r="B4" s="50" t="inlineStr">
        <is>
          <t>Secure Coding and Architecture Documentation</t>
        </is>
      </c>
      <c r="C4" s="51" t="inlineStr">
        <is>
          <t>V15.1.2</t>
        </is>
      </c>
      <c r="D4" s="52" t="inlineStr">
        <is>
          <t>Verify that an inventory catalog, such as software bill of materials (SBOM), is maintained of all third-party libraries in use, including verifying that components come from pre-defined, trusted, and continually maintained repositories.</t>
        </is>
      </c>
      <c r="E4" s="48" t="n">
        <v>2</v>
      </c>
      <c r="F4" s="49" t="inlineStr">
        <is>
          <t>Compliant</t>
        </is>
      </c>
      <c r="G4" s="52" t="inlineStr">
        <is>
          <t>A CycloneDX SBOM is generated in CI (sbom-cyclonedx.yml); dependencies are sourced from PyPI.</t>
        </is>
      </c>
      <c r="H4" s="52" t="n"/>
    </row>
    <row r="5" ht="30" customHeight="1" s="28">
      <c r="A5" s="45" t="inlineStr">
        <is>
          <t>V15.1</t>
        </is>
      </c>
      <c r="B5" s="45" t="inlineStr">
        <is>
          <t>Secure Coding and Architecture Documentation</t>
        </is>
      </c>
      <c r="C5" s="46" t="inlineStr">
        <is>
          <t>V15.1.3</t>
        </is>
      </c>
      <c r="D5" s="47"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48" t="n">
        <v>2</v>
      </c>
      <c r="F5" s="49" t="inlineStr">
        <is>
          <t>In Progress</t>
        </is>
      </c>
      <c r="G5" s="47" t="inlineStr">
        <is>
          <t>Resource-heavy features (uploads, invoice generation) are identified informally; a formal availability strategy (queues/async) is not documented.</t>
        </is>
      </c>
      <c r="H5" s="47" t="n"/>
    </row>
    <row r="6" ht="30" customHeight="1" s="28">
      <c r="A6" s="50" t="inlineStr">
        <is>
          <t>V15.1</t>
        </is>
      </c>
      <c r="B6" s="50" t="inlineStr">
        <is>
          <t>Secure Coding and Architecture Documentation</t>
        </is>
      </c>
      <c r="C6" s="51" t="inlineStr">
        <is>
          <t>V15.1.4</t>
        </is>
      </c>
      <c r="D6" s="52" t="inlineStr">
        <is>
          <t>Verify that application documentation highlights third-party libraries which are considered to be "risky components".</t>
        </is>
      </c>
      <c r="E6" s="54" t="n">
        <v>3</v>
      </c>
      <c r="F6" s="49" t="inlineStr">
        <is>
          <t>Not Started</t>
        </is>
      </c>
      <c r="G6" s="52" t="inlineStr">
        <is>
          <t>No documentation flags specific 'risky' third-party libraries.</t>
        </is>
      </c>
      <c r="H6" s="52" t="n"/>
    </row>
    <row r="7" ht="30" customHeight="1" s="28">
      <c r="A7" s="45" t="inlineStr">
        <is>
          <t>V15.1</t>
        </is>
      </c>
      <c r="B7" s="45" t="inlineStr">
        <is>
          <t>Secure Coding and Architecture Documentation</t>
        </is>
      </c>
      <c r="C7" s="46" t="inlineStr">
        <is>
          <t>V15.1.5</t>
        </is>
      </c>
      <c r="D7" s="47" t="inlineStr">
        <is>
          <t>Verify that application documentation highlights parts of the application where "dangerous functionality" is being used.</t>
        </is>
      </c>
      <c r="E7" s="54" t="n">
        <v>3</v>
      </c>
      <c r="F7" s="49" t="inlineStr">
        <is>
          <t>In Progress</t>
        </is>
      </c>
      <c r="G7" s="47" t="inlineStr">
        <is>
          <t>The report notes file handling/PDF generation as sensitive; a formal 'dangerous functionality' catalogue is not maintained.</t>
        </is>
      </c>
      <c r="H7" s="47" t="n"/>
    </row>
    <row r="8" ht="18" customHeight="1" s="28">
      <c r="A8" s="44" t="inlineStr">
        <is>
          <t>V15.2</t>
        </is>
      </c>
      <c r="B8" s="44" t="inlineStr">
        <is>
          <t>Security Architecture and Dependencies</t>
        </is>
      </c>
      <c r="C8" s="44" t="n"/>
      <c r="D8" s="44" t="n"/>
      <c r="E8" s="44" t="n"/>
      <c r="F8" s="44" t="n"/>
      <c r="G8" s="44" t="n"/>
      <c r="H8" s="44" t="n"/>
    </row>
    <row r="9" ht="30" customHeight="1" s="28">
      <c r="A9" s="45" t="inlineStr">
        <is>
          <t>V15.2</t>
        </is>
      </c>
      <c r="B9" s="45" t="inlineStr">
        <is>
          <t>Security Architecture and Dependencies</t>
        </is>
      </c>
      <c r="C9" s="46" t="inlineStr">
        <is>
          <t>V15.2.1</t>
        </is>
      </c>
      <c r="D9" s="47" t="inlineStr">
        <is>
          <t>Verify that the application only contains components which have not breached the documented update and remediation time frames.</t>
        </is>
      </c>
      <c r="E9" s="53" t="n">
        <v>1</v>
      </c>
      <c r="F9" s="49" t="inlineStr">
        <is>
          <t>Compliant</t>
        </is>
      </c>
      <c r="G9" s="47" t="inlineStr">
        <is>
          <t>The pip-audit gate fails the build on any CVE in requirements (sca-scan.yml).</t>
        </is>
      </c>
      <c r="H9" s="47" t="n"/>
    </row>
    <row r="10" ht="30" customHeight="1" s="28">
      <c r="A10" s="50" t="inlineStr">
        <is>
          <t>V15.2</t>
        </is>
      </c>
      <c r="B10" s="50" t="inlineStr">
        <is>
          <t>Security Architecture and Dependencies</t>
        </is>
      </c>
      <c r="C10" s="51" t="inlineStr">
        <is>
          <t>V15.2.2</t>
        </is>
      </c>
      <c r="D10" s="52" t="inlineStr">
        <is>
          <t>Verify that the application has implemented defenses against loss of availability due to functionality which is time-consuming or resource-demanding, based on the documented security decisions and strategies for this.</t>
        </is>
      </c>
      <c r="E10" s="48" t="n">
        <v>2</v>
      </c>
      <c r="F10" s="49" t="inlineStr">
        <is>
          <t>In Progress</t>
        </is>
      </c>
      <c r="G10" s="52" t="inlineStr">
        <is>
          <t>Upload size limits, quotas and pagination defaults exist; per-endpoint rate limiting against resource exhaustion is not implemented.</t>
        </is>
      </c>
      <c r="H10" s="52" t="n"/>
    </row>
    <row r="11" ht="30" customHeight="1" s="28">
      <c r="A11" s="45" t="inlineStr">
        <is>
          <t>V15.2</t>
        </is>
      </c>
      <c r="B11" s="45" t="inlineStr">
        <is>
          <t>Security Architecture and Dependencies</t>
        </is>
      </c>
      <c r="C11" s="46" t="inlineStr">
        <is>
          <t>V15.2.3</t>
        </is>
      </c>
      <c r="D11" s="47" t="inlineStr">
        <is>
          <t>Verify that the production environment only includes functionality that is required for the application to function, and does not expose extraneous functionality such as test code, sample snippets, and development functionality.</t>
        </is>
      </c>
      <c r="E11" s="48" t="n">
        <v>2</v>
      </c>
      <c r="F11" s="49" t="inlineStr">
        <is>
          <t>In Progress</t>
        </is>
      </c>
      <c r="G11" s="47" t="inlineStr">
        <is>
          <t>tests/ and dev dependencies are excluded from the image and /docs is disabled in prod; however test_debug.py at the app root is not excluded by .dockerignore.</t>
        </is>
      </c>
      <c r="H11" s="47" t="n"/>
    </row>
    <row r="12" ht="30" customHeight="1" s="28">
      <c r="A12" s="50" t="inlineStr">
        <is>
          <t>V15.2</t>
        </is>
      </c>
      <c r="B12" s="50" t="inlineStr">
        <is>
          <t>Security Architecture and Dependencies</t>
        </is>
      </c>
      <c r="C12" s="51" t="inlineStr">
        <is>
          <t>V15.2.4</t>
        </is>
      </c>
      <c r="D12" s="52" t="inlineStr">
        <is>
          <t>Verify that third-party components and all of their transitive dependencies are included from the expected repository, whether internally owned or an external source, and that there is no risk of a dependency confusion attack.</t>
        </is>
      </c>
      <c r="E12" s="54" t="n">
        <v>3</v>
      </c>
      <c r="F12" s="49" t="inlineStr">
        <is>
          <t>In Progress</t>
        </is>
      </c>
      <c r="G12" s="52" t="inlineStr">
        <is>
          <t>Dependencies come from public PyPI with an SBOM; requirements use &gt;= ranges (no pinned versions/hashes), leaving some dependency-confusion/drift risk.</t>
        </is>
      </c>
      <c r="H12" s="52" t="n"/>
    </row>
    <row r="13" ht="30" customHeight="1" s="28">
      <c r="A13" s="45" t="inlineStr">
        <is>
          <t>V15.2</t>
        </is>
      </c>
      <c r="B13" s="45" t="inlineStr">
        <is>
          <t>Security Architecture and Dependencies</t>
        </is>
      </c>
      <c r="C13" s="46" t="inlineStr">
        <is>
          <t>V15.2.5</t>
        </is>
      </c>
      <c r="D13" s="47"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54" t="n">
        <v>3</v>
      </c>
      <c r="F13" s="49" t="inlineStr">
        <is>
          <t>Compliant</t>
        </is>
      </c>
      <c r="G13" s="47" t="inlineStr">
        <is>
          <t>App runs as a non-root user in a container on an isolated network; DB and app are not published to the host.</t>
        </is>
      </c>
      <c r="H13" s="47" t="n"/>
    </row>
    <row r="14" ht="18" customHeight="1" s="28">
      <c r="A14" s="44" t="inlineStr">
        <is>
          <t>V15.3</t>
        </is>
      </c>
      <c r="B14" s="44" t="inlineStr">
        <is>
          <t>Defensive Coding</t>
        </is>
      </c>
      <c r="C14" s="44" t="n"/>
      <c r="D14" s="44" t="n"/>
      <c r="E14" s="44" t="n"/>
      <c r="F14" s="44" t="n"/>
      <c r="G14" s="44" t="n"/>
      <c r="H14" s="44" t="n"/>
    </row>
    <row r="15" ht="30" customHeight="1" s="28">
      <c r="A15" s="45" t="inlineStr">
        <is>
          <t>V15.3</t>
        </is>
      </c>
      <c r="B15" s="45" t="inlineStr">
        <is>
          <t>Defensive Coding</t>
        </is>
      </c>
      <c r="C15" s="46" t="inlineStr">
        <is>
          <t>V15.3.1</t>
        </is>
      </c>
      <c r="D15" s="47" t="inlineStr">
        <is>
          <t>Verify that the application only returns the required subset of fields from a data object. For example, it should not return an entire data object, as some individual fields should not be accessible to users.</t>
        </is>
      </c>
      <c r="E15" s="53" t="n">
        <v>1</v>
      </c>
      <c r="F15" s="49" t="inlineStr">
        <is>
          <t>Compliant</t>
        </is>
      </c>
      <c r="G15" s="47" t="inlineStr">
        <is>
          <t>Response Pydantic schemas return only required fields (e.g. UserResponse omits the password hash).</t>
        </is>
      </c>
      <c r="H15" s="47" t="n"/>
    </row>
    <row r="16" ht="30" customHeight="1" s="28">
      <c r="A16" s="50" t="inlineStr">
        <is>
          <t>V15.3</t>
        </is>
      </c>
      <c r="B16" s="50" t="inlineStr">
        <is>
          <t>Defensive Coding</t>
        </is>
      </c>
      <c r="C16" s="51" t="inlineStr">
        <is>
          <t>V15.3.2</t>
        </is>
      </c>
      <c r="D16" s="52" t="inlineStr">
        <is>
          <t>Verify that where the application backend makes calls to external URLs, it is configured to not follow redirects unless it is intended functionality.</t>
        </is>
      </c>
      <c r="E16" s="48" t="n">
        <v>2</v>
      </c>
      <c r="F16" s="49" t="inlineStr">
        <is>
          <t>Compliant</t>
        </is>
      </c>
      <c r="G16" s="52" t="inlineStr">
        <is>
          <t>The only backend HTTP client (httpx for HIBP) does not follow redirects by default.</t>
        </is>
      </c>
      <c r="H16" s="52" t="n"/>
    </row>
    <row r="17" ht="30" customHeight="1" s="28">
      <c r="A17" s="45" t="inlineStr">
        <is>
          <t>V15.3</t>
        </is>
      </c>
      <c r="B17" s="45" t="inlineStr">
        <is>
          <t>Defensive Coding</t>
        </is>
      </c>
      <c r="C17" s="46" t="inlineStr">
        <is>
          <t>V15.3.3</t>
        </is>
      </c>
      <c r="D17" s="47"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48" t="n">
        <v>2</v>
      </c>
      <c r="F17" s="49" t="inlineStr">
        <is>
          <t>Compliant</t>
        </is>
      </c>
      <c r="G17" s="47" t="inlineStr">
        <is>
          <t>Input schemas restrict assignable fields (UserUpdate cannot set role/is_active; order prices are server-snapshotted), mitigating mass assignment (T-P2-03).</t>
        </is>
      </c>
      <c r="H17" s="47" t="n"/>
    </row>
    <row r="18" ht="30" customHeight="1" s="28">
      <c r="A18" s="50" t="inlineStr">
        <is>
          <t>V15.3</t>
        </is>
      </c>
      <c r="B18" s="50" t="inlineStr">
        <is>
          <t>Defensive Coding</t>
        </is>
      </c>
      <c r="C18" s="51" t="inlineStr">
        <is>
          <t>V15.3.4</t>
        </is>
      </c>
      <c r="D18" s="52"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48" t="n">
        <v>2</v>
      </c>
      <c r="F18" s="49" t="inlineStr">
        <is>
          <t>In Progress</t>
        </is>
      </c>
      <c r="G18" s="52" t="inlineStr">
        <is>
          <t>nginx forwards X-Real-IP/X-Forwarded-For; the app does not yet use client IP for security decisions (rate limiting pending). --forwarded-allow-ips is broad but the app is proxy-only.</t>
        </is>
      </c>
      <c r="H18" s="52" t="n"/>
    </row>
    <row r="19" ht="30" customHeight="1" s="28">
      <c r="A19" s="45" t="inlineStr">
        <is>
          <t>V15.3</t>
        </is>
      </c>
      <c r="B19" s="45" t="inlineStr">
        <is>
          <t>Defensive Coding</t>
        </is>
      </c>
      <c r="C19" s="46" t="inlineStr">
        <is>
          <t>V15.3.5</t>
        </is>
      </c>
      <c r="D19" s="47"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48" t="n">
        <v>2</v>
      </c>
      <c r="F19" s="49" t="inlineStr">
        <is>
          <t>Compliant</t>
        </is>
      </c>
      <c r="G19" s="47" t="inlineStr">
        <is>
          <t>Pydantic enforces strict typing and enums (OrderStatus/ProductStatus); Python uses strict equality (no type juggling).</t>
        </is>
      </c>
      <c r="H19" s="47" t="n"/>
    </row>
    <row r="20" ht="30" customHeight="1" s="28">
      <c r="A20" s="50" t="inlineStr">
        <is>
          <t>V15.3</t>
        </is>
      </c>
      <c r="B20" s="50" t="inlineStr">
        <is>
          <t>Defensive Coding</t>
        </is>
      </c>
      <c r="C20" s="51" t="inlineStr">
        <is>
          <t>V15.3.6</t>
        </is>
      </c>
      <c r="D20" s="52" t="inlineStr">
        <is>
          <t>Verify that JavaScript code is written in a way that prevents prototype pollution, for example, by using Set() or Map() instead of object literals.</t>
        </is>
      </c>
      <c r="E20" s="48" t="n">
        <v>2</v>
      </c>
      <c r="F20" s="49" t="inlineStr">
        <is>
          <t>Not Applicable</t>
        </is>
      </c>
      <c r="G20" s="52" t="inlineStr">
        <is>
          <t>No JavaScript; prototype pollution not applicable.</t>
        </is>
      </c>
      <c r="H20" s="52" t="n"/>
    </row>
    <row r="21" ht="30" customHeight="1" s="28">
      <c r="A21" s="45" t="inlineStr">
        <is>
          <t>V15.3</t>
        </is>
      </c>
      <c r="B21" s="45" t="inlineStr">
        <is>
          <t>Defensive Coding</t>
        </is>
      </c>
      <c r="C21" s="46" t="inlineStr">
        <is>
          <t>V15.3.7</t>
        </is>
      </c>
      <c r="D21" s="47" t="inlineStr">
        <is>
          <t>Verify that the application has defenses against HTTP parameter pollution attacks, particularly if the application framework makes no distinction about the source of request parameters (query string, body parameters, cookies, or header fields).</t>
        </is>
      </c>
      <c r="E21" s="48" t="n">
        <v>2</v>
      </c>
      <c r="F21" s="49" t="inlineStr">
        <is>
          <t>Compliant</t>
        </is>
      </c>
      <c r="G21" s="47" t="inlineStr">
        <is>
          <t>FastAPI binds parameters by declared source and type, avoiding ambiguous multi-source parameter handling (HPP).</t>
        </is>
      </c>
      <c r="H21" s="47" t="n"/>
    </row>
    <row r="22" ht="18" customHeight="1" s="28">
      <c r="A22" s="44" t="inlineStr">
        <is>
          <t>V15.4</t>
        </is>
      </c>
      <c r="B22" s="44" t="inlineStr">
        <is>
          <t>Safe Concurrency</t>
        </is>
      </c>
      <c r="C22" s="44" t="n"/>
      <c r="D22" s="44" t="n"/>
      <c r="E22" s="44" t="n"/>
      <c r="F22" s="44" t="n"/>
      <c r="G22" s="44" t="n"/>
      <c r="H22" s="44" t="n"/>
    </row>
    <row r="23" ht="30" customHeight="1" s="28">
      <c r="A23" s="45" t="inlineStr">
        <is>
          <t>V15.4</t>
        </is>
      </c>
      <c r="B23" s="45" t="inlineStr">
        <is>
          <t>Safe Concurrency</t>
        </is>
      </c>
      <c r="C23" s="46" t="inlineStr">
        <is>
          <t>V15.4.1</t>
        </is>
      </c>
      <c r="D23" s="47"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54" t="n">
        <v>3</v>
      </c>
      <c r="F23" s="49" t="inlineStr">
        <is>
          <t>Compliant</t>
        </is>
      </c>
      <c r="G23" s="47" t="inlineStr">
        <is>
          <t>Per-request SQLAlchemy sessions; no shared mutable in-memory state across requests.</t>
        </is>
      </c>
      <c r="H23" s="47" t="n"/>
    </row>
    <row r="24" ht="30" customHeight="1" s="28">
      <c r="A24" s="50" t="inlineStr">
        <is>
          <t>V15.4</t>
        </is>
      </c>
      <c r="B24" s="50" t="inlineStr">
        <is>
          <t>Safe Concurrency</t>
        </is>
      </c>
      <c r="C24" s="51" t="inlineStr">
        <is>
          <t>V15.4.2</t>
        </is>
      </c>
      <c r="D24" s="52"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54" t="n">
        <v>3</v>
      </c>
      <c r="F24" s="49" t="inlineStr">
        <is>
          <t>In Progress</t>
        </is>
      </c>
      <c r="G24" s="52" t="inlineStr">
        <is>
          <t>Image writes are atomic (temp+rename, symlink rejection); the stock check-then-decrement is not atomic (TOCTOU/race, SR-DATA-10 pending).</t>
        </is>
      </c>
      <c r="H24" s="52" t="n"/>
    </row>
    <row r="25" ht="30" customHeight="1" s="28">
      <c r="A25" s="45" t="inlineStr">
        <is>
          <t>V15.4</t>
        </is>
      </c>
      <c r="B25" s="45" t="inlineStr">
        <is>
          <t>Safe Concurrency</t>
        </is>
      </c>
      <c r="C25" s="46" t="inlineStr">
        <is>
          <t>V15.4.3</t>
        </is>
      </c>
      <c r="D25" s="47"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54" t="n">
        <v>3</v>
      </c>
      <c r="F25" s="49" t="inlineStr">
        <is>
          <t>In Progress</t>
        </is>
      </c>
      <c r="G25" s="47" t="inlineStr">
        <is>
          <t>No application-level locking is used where it matters (stock decrement); to be addressed with DB row-level locking.</t>
        </is>
      </c>
      <c r="H25" s="47" t="n"/>
    </row>
    <row r="26" ht="30" customHeight="1" s="28">
      <c r="A26" s="50" t="inlineStr">
        <is>
          <t>V15.4</t>
        </is>
      </c>
      <c r="B26" s="50" t="inlineStr">
        <is>
          <t>Safe Concurrency</t>
        </is>
      </c>
      <c r="C26" s="51" t="inlineStr">
        <is>
          <t>V15.4.4</t>
        </is>
      </c>
      <c r="D26" s="52" t="inlineStr">
        <is>
          <t>Verify that resource allocation policies prevent thread starvation by ensuring fair access to resources, such as by leveraging thread pools, allowing lower-priority threads to proceed within a reasonable timeframe.</t>
        </is>
      </c>
      <c r="E26" s="54" t="n">
        <v>3</v>
      </c>
      <c r="F26" s="49" t="inlineStr">
        <is>
          <t>In Progress</t>
        </is>
      </c>
      <c r="G26" s="52" t="inlineStr">
        <is>
          <t>uvicorn workers plus a bounded DB connection pool exist; no per-user fairness/anti-starvation controls.</t>
        </is>
      </c>
      <c r="H26" s="52" t="n"/>
    </row>
  </sheetData>
  <conditionalFormatting sqref="F2:F26">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26"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V16.1</t>
        </is>
      </c>
      <c r="B2" s="44" t="inlineStr">
        <is>
          <t>Security Logging Documentation</t>
        </is>
      </c>
      <c r="C2" s="44" t="n"/>
      <c r="D2" s="44" t="n"/>
      <c r="E2" s="44" t="n"/>
      <c r="F2" s="44" t="n"/>
      <c r="G2" s="44" t="n"/>
      <c r="H2" s="44" t="n"/>
    </row>
    <row r="3" ht="30" customHeight="1" s="28">
      <c r="A3" s="45" t="inlineStr">
        <is>
          <t>V16.1</t>
        </is>
      </c>
      <c r="B3" s="45" t="inlineStr">
        <is>
          <t>Security Logging Documentation</t>
        </is>
      </c>
      <c r="C3" s="46" t="inlineStr">
        <is>
          <t>V16.1.1</t>
        </is>
      </c>
      <c r="D3" s="47"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48" t="n">
        <v>2</v>
      </c>
      <c r="F3" s="49" t="inlineStr">
        <is>
          <t>In Progress</t>
        </is>
      </c>
      <c r="G3" s="47" t="inlineStr">
        <is>
          <t>Logging is described in the report (SR-LOG); a formal log inventory (events/formats/storage/retention) is not maintained, and the immutable audit-log table (SR-LOG-01/02) is designed but not implemented.</t>
        </is>
      </c>
      <c r="H3" s="47" t="n"/>
    </row>
    <row r="4" ht="18" customHeight="1" s="28">
      <c r="A4" s="44" t="inlineStr">
        <is>
          <t>V16.2</t>
        </is>
      </c>
      <c r="B4" s="44" t="inlineStr">
        <is>
          <t>General Logging</t>
        </is>
      </c>
      <c r="C4" s="44" t="n"/>
      <c r="D4" s="44" t="n"/>
      <c r="E4" s="44" t="n"/>
      <c r="F4" s="44" t="n"/>
      <c r="G4" s="44" t="n"/>
      <c r="H4" s="44" t="n"/>
    </row>
    <row r="5" ht="30" customHeight="1" s="28">
      <c r="A5" s="45" t="inlineStr">
        <is>
          <t>V16.2</t>
        </is>
      </c>
      <c r="B5" s="45" t="inlineStr">
        <is>
          <t>General Logging</t>
        </is>
      </c>
      <c r="C5" s="46" t="inlineStr">
        <is>
          <t>V16.2.1</t>
        </is>
      </c>
      <c r="D5" s="47" t="inlineStr">
        <is>
          <t>Verify that each log entry includes necessary metadata (such as when, where, who, what) that would allow for a detailed investigation of the timeline when an event happens.</t>
        </is>
      </c>
      <c r="E5" s="48" t="n">
        <v>2</v>
      </c>
      <c r="F5" s="49" t="inlineStr">
        <is>
          <t>In Progress</t>
        </is>
      </c>
      <c r="G5" s="47" t="inlineStr">
        <is>
          <t>Auth/authz events are logged with user id and action (auth_service.py, middleware/auth.py); IP address is not consistently captured (no IP/rate-limit middleware) - SR-AUTH-10 partially met.</t>
        </is>
      </c>
      <c r="H5" s="47" t="n"/>
    </row>
    <row r="6" ht="30" customHeight="1" s="28">
      <c r="A6" s="50" t="inlineStr">
        <is>
          <t>V16.2</t>
        </is>
      </c>
      <c r="B6" s="50" t="inlineStr">
        <is>
          <t>General Logging</t>
        </is>
      </c>
      <c r="C6" s="51" t="inlineStr">
        <is>
          <t>V16.2.2</t>
        </is>
      </c>
      <c r="D6" s="52"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48" t="n">
        <v>2</v>
      </c>
      <c r="F6" s="49" t="inlineStr">
        <is>
          <t>Compliant</t>
        </is>
      </c>
      <c r="G6" s="52" t="inlineStr">
        <is>
          <t>Application timestamps are timezone-aware UTC (datetime.now(timezone.utc)).</t>
        </is>
      </c>
      <c r="H6" s="52" t="n"/>
    </row>
    <row r="7" ht="30" customHeight="1" s="28">
      <c r="A7" s="45" t="inlineStr">
        <is>
          <t>V16.2</t>
        </is>
      </c>
      <c r="B7" s="45" t="inlineStr">
        <is>
          <t>General Logging</t>
        </is>
      </c>
      <c r="C7" s="46" t="inlineStr">
        <is>
          <t>V16.2.3</t>
        </is>
      </c>
      <c r="D7" s="47" t="inlineStr">
        <is>
          <t>Verify that the application only stores or broadcasts logs to the files and services that are documented in the log inventory.</t>
        </is>
      </c>
      <c r="E7" s="48" t="n">
        <v>2</v>
      </c>
      <c r="F7" s="49" t="inlineStr">
        <is>
          <t>In Progress</t>
        </is>
      </c>
      <c r="G7" s="47" t="inlineStr">
        <is>
          <t>Logs are written to container stdout/stderr; sinks are not formally documented in a log inventory.</t>
        </is>
      </c>
      <c r="H7" s="47" t="n"/>
    </row>
    <row r="8" ht="30" customHeight="1" s="28">
      <c r="A8" s="50" t="inlineStr">
        <is>
          <t>V16.2</t>
        </is>
      </c>
      <c r="B8" s="50" t="inlineStr">
        <is>
          <t>General Logging</t>
        </is>
      </c>
      <c r="C8" s="51" t="inlineStr">
        <is>
          <t>V16.2.4</t>
        </is>
      </c>
      <c r="D8" s="52" t="inlineStr">
        <is>
          <t>Verify that logs can be read and correlated by the log processor that is in use, preferably by using a common logging format.</t>
        </is>
      </c>
      <c r="E8" s="48" t="n">
        <v>2</v>
      </c>
      <c r="F8" s="49" t="inlineStr">
        <is>
          <t>In Progress</t>
        </is>
      </c>
      <c r="G8" s="52" t="inlineStr">
        <is>
          <t>Standard Python logging to stdout is used; a structured/JSON common format is not configured.</t>
        </is>
      </c>
      <c r="H8" s="52" t="n"/>
    </row>
    <row r="9" ht="30" customHeight="1" s="28">
      <c r="A9" s="45" t="inlineStr">
        <is>
          <t>V16.2</t>
        </is>
      </c>
      <c r="B9" s="45" t="inlineStr">
        <is>
          <t>General Logging</t>
        </is>
      </c>
      <c r="C9" s="46" t="inlineStr">
        <is>
          <t>V16.2.5</t>
        </is>
      </c>
      <c r="D9" s="47"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48" t="n">
        <v>2</v>
      </c>
      <c r="F9" s="49" t="inlineStr">
        <is>
          <t>Compliant</t>
        </is>
      </c>
      <c r="G9" s="47" t="inlineStr">
        <is>
          <t>Logging avoids secrets - only user ids/actions are logged; passwords/tokens are never logged (SR-LOG-04, SR-DATA-08).</t>
        </is>
      </c>
      <c r="H9" s="47" t="n"/>
    </row>
    <row r="10" ht="18" customHeight="1" s="28">
      <c r="A10" s="44" t="inlineStr">
        <is>
          <t>V16.3</t>
        </is>
      </c>
      <c r="B10" s="44" t="inlineStr">
        <is>
          <t>Security Events</t>
        </is>
      </c>
      <c r="C10" s="44" t="n"/>
      <c r="D10" s="44" t="n"/>
      <c r="E10" s="44" t="n"/>
      <c r="F10" s="44" t="n"/>
      <c r="G10" s="44" t="n"/>
      <c r="H10" s="44" t="n"/>
    </row>
    <row r="11" ht="30" customHeight="1" s="28">
      <c r="A11" s="45" t="inlineStr">
        <is>
          <t>V16.3</t>
        </is>
      </c>
      <c r="B11" s="45" t="inlineStr">
        <is>
          <t>Security Events</t>
        </is>
      </c>
      <c r="C11" s="46" t="inlineStr">
        <is>
          <t>V16.3.1</t>
        </is>
      </c>
      <c r="D11" s="47" t="inlineStr">
        <is>
          <t>Verify that all authentication operations are logged, including successful and unsuccessful attempts. Additional metadata, such as the type of authentication or factors used, should also be collected.</t>
        </is>
      </c>
      <c r="E11" s="48" t="n">
        <v>2</v>
      </c>
      <c r="F11" s="49" t="inlineStr">
        <is>
          <t>In Progress</t>
        </is>
      </c>
      <c r="G11" s="47" t="inlineStr">
        <is>
          <t>Login success and account lockout are logged; per-attempt failed logins are not individually logged (and without IP).</t>
        </is>
      </c>
      <c r="H11" s="47" t="n"/>
    </row>
    <row r="12" ht="30" customHeight="1" s="28">
      <c r="A12" s="50" t="inlineStr">
        <is>
          <t>V16.3</t>
        </is>
      </c>
      <c r="B12" s="50" t="inlineStr">
        <is>
          <t>Security Events</t>
        </is>
      </c>
      <c r="C12" s="51" t="inlineStr">
        <is>
          <t>V16.3.2</t>
        </is>
      </c>
      <c r="D12" s="52" t="inlineStr">
        <is>
          <t>Verify that failed authorization attempts are logged. For L3, this must include logging all authorization decisions, including logging when sensitive data is accessed (without logging the sensitive data itself).</t>
        </is>
      </c>
      <c r="E12" s="48" t="n">
        <v>2</v>
      </c>
      <c r="F12" s="49" t="inlineStr">
        <is>
          <t>Compliant</t>
        </is>
      </c>
      <c r="G12" s="52" t="inlineStr">
        <is>
          <t>Authorization failures are logged: RBAC denials and token/JWT denials in middleware/auth.py.</t>
        </is>
      </c>
      <c r="H12" s="52" t="n"/>
    </row>
    <row r="13" ht="30" customHeight="1" s="28">
      <c r="A13" s="45" t="inlineStr">
        <is>
          <t>V16.3</t>
        </is>
      </c>
      <c r="B13" s="45" t="inlineStr">
        <is>
          <t>Security Events</t>
        </is>
      </c>
      <c r="C13" s="46" t="inlineStr">
        <is>
          <t>V16.3.3</t>
        </is>
      </c>
      <c r="D13" s="47" t="inlineStr">
        <is>
          <t>Verify that the application logs the security events that are defined in the documentation and also logs attempts to bypass the security controls, such as input validation, business logic, and anti-automation.</t>
        </is>
      </c>
      <c r="E13" s="48" t="n">
        <v>2</v>
      </c>
      <c r="F13" s="49" t="inlineStr">
        <is>
          <t>In Progress</t>
        </is>
      </c>
      <c r="G13" s="47" t="inlineStr">
        <is>
          <t>Auth/authz events are logged; input-validation failures (FastAPI 422) and anti-automation bypass attempts are not explicitly logged.</t>
        </is>
      </c>
      <c r="H13" s="47" t="n"/>
    </row>
    <row r="14" ht="30" customHeight="1" s="28">
      <c r="A14" s="50" t="inlineStr">
        <is>
          <t>V16.3</t>
        </is>
      </c>
      <c r="B14" s="50" t="inlineStr">
        <is>
          <t>Security Events</t>
        </is>
      </c>
      <c r="C14" s="51" t="inlineStr">
        <is>
          <t>V16.3.4</t>
        </is>
      </c>
      <c r="D14" s="52" t="inlineStr">
        <is>
          <t>Verify that the application logs unexpected errors and security control failures such as backend TLS failures.</t>
        </is>
      </c>
      <c r="E14" s="48" t="n">
        <v>2</v>
      </c>
      <c r="F14" s="49" t="inlineStr">
        <is>
          <t>In Progress</t>
        </is>
      </c>
      <c r="G14" s="52" t="inlineStr">
        <is>
          <t>Auth/JWT errors are logged, but some handlers swallow exceptions silently (e.g. invoice generation in routers/orders.py) without logging.</t>
        </is>
      </c>
      <c r="H14" s="52" t="n"/>
    </row>
    <row r="15" ht="18" customHeight="1" s="28">
      <c r="A15" s="44" t="inlineStr">
        <is>
          <t>V16.4</t>
        </is>
      </c>
      <c r="B15" s="44" t="inlineStr">
        <is>
          <t>Log Protection</t>
        </is>
      </c>
      <c r="C15" s="44" t="n"/>
      <c r="D15" s="44" t="n"/>
      <c r="E15" s="44" t="n"/>
      <c r="F15" s="44" t="n"/>
      <c r="G15" s="44" t="n"/>
      <c r="H15" s="44" t="n"/>
    </row>
    <row r="16" ht="30" customHeight="1" s="28">
      <c r="A16" s="45" t="inlineStr">
        <is>
          <t>V16.4</t>
        </is>
      </c>
      <c r="B16" s="45" t="inlineStr">
        <is>
          <t>Log Protection</t>
        </is>
      </c>
      <c r="C16" s="46" t="inlineStr">
        <is>
          <t>V16.4.1</t>
        </is>
      </c>
      <c r="D16" s="47" t="inlineStr">
        <is>
          <t>Verify that all logging components appropriately encode data to prevent log injection.</t>
        </is>
      </c>
      <c r="E16" s="48" t="n">
        <v>2</v>
      </c>
      <c r="F16" s="49" t="inlineStr">
        <is>
          <t>In Progress</t>
        </is>
      </c>
      <c r="G16" s="47" t="inlineStr">
        <is>
          <t>Parameterized logging is used; user-controlled values are not explicitly sanitized for CRLF/log-injection.</t>
        </is>
      </c>
      <c r="H16" s="47" t="n"/>
    </row>
    <row r="17" ht="30" customHeight="1" s="28">
      <c r="A17" s="50" t="inlineStr">
        <is>
          <t>V16.4</t>
        </is>
      </c>
      <c r="B17" s="50" t="inlineStr">
        <is>
          <t>Log Protection</t>
        </is>
      </c>
      <c r="C17" s="51" t="inlineStr">
        <is>
          <t>V16.4.2</t>
        </is>
      </c>
      <c r="D17" s="52" t="inlineStr">
        <is>
          <t>Verify that logs are protected from unauthorized access and cannot be modified.</t>
        </is>
      </c>
      <c r="E17" s="48" t="n">
        <v>2</v>
      </c>
      <c r="F17" s="49" t="inlineStr">
        <is>
          <t>In Progress</t>
        </is>
      </c>
      <c r="G17" s="52" t="inlineStr">
        <is>
          <t>Logs go to container stdout; an immutable/append-only audit store with a restricted DB user (SR-LOG-02) is designed but not implemented.</t>
        </is>
      </c>
      <c r="H17" s="52" t="n"/>
    </row>
    <row r="18" ht="30" customHeight="1" s="28">
      <c r="A18" s="45" t="inlineStr">
        <is>
          <t>V16.4</t>
        </is>
      </c>
      <c r="B18" s="45" t="inlineStr">
        <is>
          <t>Log Protection</t>
        </is>
      </c>
      <c r="C18" s="46" t="inlineStr">
        <is>
          <t>V16.4.3</t>
        </is>
      </c>
      <c r="D18" s="47" t="inlineStr">
        <is>
          <t>Verify that logs are securely transmitted to a logically separate system for analysis, detection, alerting, and escalation. The aim is to ensure that if the application is breached, the logs are not compromised.</t>
        </is>
      </c>
      <c r="E18" s="48" t="n">
        <v>2</v>
      </c>
      <c r="F18" s="49" t="inlineStr">
        <is>
          <t>Not Started</t>
        </is>
      </c>
      <c r="G18" s="47" t="inlineStr">
        <is>
          <t>No centralized/separate log-shipping system is configured.</t>
        </is>
      </c>
      <c r="H18" s="47" t="n"/>
    </row>
    <row r="19" ht="18" customHeight="1" s="28">
      <c r="A19" s="44" t="inlineStr">
        <is>
          <t>V16.5</t>
        </is>
      </c>
      <c r="B19" s="44" t="inlineStr">
        <is>
          <t>Error Handling</t>
        </is>
      </c>
      <c r="C19" s="44" t="n"/>
      <c r="D19" s="44" t="n"/>
      <c r="E19" s="44" t="n"/>
      <c r="F19" s="44" t="n"/>
      <c r="G19" s="44" t="n"/>
      <c r="H19" s="44" t="n"/>
    </row>
    <row r="20" ht="30" customHeight="1" s="28">
      <c r="A20" s="45" t="inlineStr">
        <is>
          <t>V16.5</t>
        </is>
      </c>
      <c r="B20" s="45" t="inlineStr">
        <is>
          <t>Error Handling</t>
        </is>
      </c>
      <c r="C20" s="46" t="inlineStr">
        <is>
          <t>V16.5.1</t>
        </is>
      </c>
      <c r="D20" s="47" t="inlineStr">
        <is>
          <t>Verify that a generic message is returned to the consumer when an unexpected or security-sensitive error occurs, ensuring no exposure of sensitive internal system data such as stack traces, queries, secret keys, and tokens.</t>
        </is>
      </c>
      <c r="E20" s="48" t="n">
        <v>2</v>
      </c>
      <c r="F20" s="49" t="inlineStr">
        <is>
          <t>Compliant</t>
        </is>
      </c>
      <c r="G20" s="47" t="inlineStr">
        <is>
          <t>HTTPExceptions return generic messages; debug is disabled so no stack traces leak; login returns a uniform 401 (no user enumeration) - SR-LOG-05, NFR-09.</t>
        </is>
      </c>
      <c r="H20" s="47" t="n"/>
    </row>
    <row r="21" ht="30" customHeight="1" s="28">
      <c r="A21" s="50" t="inlineStr">
        <is>
          <t>V16.5</t>
        </is>
      </c>
      <c r="B21" s="50" t="inlineStr">
        <is>
          <t>Error Handling</t>
        </is>
      </c>
      <c r="C21" s="51" t="inlineStr">
        <is>
          <t>V16.5.2</t>
        </is>
      </c>
      <c r="D21" s="52" t="inlineStr">
        <is>
          <t>Verify that the application continues to operate securely when external resource access fails, for example, by using patterns such as circuit breakers or graceful degradation.</t>
        </is>
      </c>
      <c r="E21" s="48" t="n">
        <v>2</v>
      </c>
      <c r="F21" s="49" t="inlineStr">
        <is>
          <t>Compliant</t>
        </is>
      </c>
      <c r="G21" s="52" t="inlineStr">
        <is>
          <t>External failures degrade gracefully - the HIBP outage path fails open by design (documented defence-in-depth).</t>
        </is>
      </c>
      <c r="H21" s="52" t="n"/>
    </row>
    <row r="22" ht="30" customHeight="1" s="28">
      <c r="A22" s="45" t="inlineStr">
        <is>
          <t>V16.5</t>
        </is>
      </c>
      <c r="B22" s="45" t="inlineStr">
        <is>
          <t>Error Handling</t>
        </is>
      </c>
      <c r="C22" s="46" t="inlineStr">
        <is>
          <t>V16.5.3</t>
        </is>
      </c>
      <c r="D22" s="47" t="inlineStr">
        <is>
          <t>Verify that the application fails gracefully and securely, including when an exception occurs, preventing fail-open conditions such as processing a transaction despite errors resulting from validation logic.</t>
        </is>
      </c>
      <c r="E22" s="48" t="n">
        <v>2</v>
      </c>
      <c r="F22" s="49" t="inlineStr">
        <is>
          <t>Compliant</t>
        </is>
      </c>
      <c r="G22" s="47" t="inlineStr">
        <is>
          <t>Security-critical paths fail closed (authn/authz deny on error); validation errors return 422. The HIBP fail-open is a non-primary, defence-in-depth check.</t>
        </is>
      </c>
      <c r="H22" s="47" t="n"/>
    </row>
    <row r="23" ht="30" customHeight="1" s="28">
      <c r="A23" s="50" t="inlineStr">
        <is>
          <t>V16.5</t>
        </is>
      </c>
      <c r="B23" s="50" t="inlineStr">
        <is>
          <t>Error Handling</t>
        </is>
      </c>
      <c r="C23" s="51" t="inlineStr">
        <is>
          <t>V16.5.4</t>
        </is>
      </c>
      <c r="D23" s="52"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54" t="n">
        <v>3</v>
      </c>
      <c r="F23" s="49" t="inlineStr">
        <is>
          <t>In Progress</t>
        </is>
      </c>
      <c r="G23" s="52" t="inlineStr">
        <is>
          <t>FastAPI's default handler returns a generic 500 for unhandled exceptions; a custom last-resort handler with logging is not registered.</t>
        </is>
      </c>
      <c r="H23" s="52" t="n"/>
    </row>
  </sheetData>
  <conditionalFormatting sqref="F2:F23">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23"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75" zoomScaleNormal="75"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zeroHeight="0" outlineLevelRow="0"/>
  <cols>
    <col width="12" customWidth="1" style="27" min="1" max="1"/>
    <col width="28" customWidth="1" style="27" min="2" max="2"/>
    <col width="12" customWidth="1" style="27" min="3" max="3"/>
    <col width="60" customWidth="1" style="27" min="4" max="4"/>
    <col width="8" customWidth="1" style="27" min="5" max="5"/>
    <col width="16" customWidth="1" style="27" min="6" max="6"/>
    <col width="40" customWidth="1" style="27" min="7" max="7"/>
    <col width="35" customWidth="1" style="27" min="8" max="8"/>
  </cols>
  <sheetData>
    <row r="1" ht="28" customHeight="1" s="28">
      <c r="A1" s="43" t="inlineStr">
        <is>
          <t>Section ID</t>
        </is>
      </c>
      <c r="B1" s="43" t="inlineStr">
        <is>
          <t>Section Name</t>
        </is>
      </c>
      <c r="C1" s="43" t="inlineStr">
        <is>
          <t>Req ID</t>
        </is>
      </c>
      <c r="D1" s="43" t="inlineStr">
        <is>
          <t>Description</t>
        </is>
      </c>
      <c r="E1" s="43" t="inlineStr">
        <is>
          <t>Level</t>
        </is>
      </c>
      <c r="F1" s="43" t="inlineStr">
        <is>
          <t>Status</t>
        </is>
      </c>
      <c r="G1" s="43" t="inlineStr">
        <is>
          <t>Observations</t>
        </is>
      </c>
      <c r="H1" s="43" t="inlineStr">
        <is>
          <t>Reference / Link</t>
        </is>
      </c>
    </row>
    <row r="2" ht="18" customHeight="1" s="28">
      <c r="A2" s="44" t="inlineStr">
        <is>
          <t>V17.1</t>
        </is>
      </c>
      <c r="B2" s="44" t="inlineStr">
        <is>
          <t>TURN Server</t>
        </is>
      </c>
      <c r="C2" s="44" t="n"/>
      <c r="D2" s="44" t="n"/>
      <c r="E2" s="44" t="n"/>
      <c r="F2" s="44" t="n"/>
      <c r="G2" s="44" t="n"/>
      <c r="H2" s="44" t="n"/>
    </row>
    <row r="3" ht="30" customHeight="1" s="28">
      <c r="A3" s="45" t="inlineStr">
        <is>
          <t>V17.1</t>
        </is>
      </c>
      <c r="B3" s="45" t="inlineStr">
        <is>
          <t>TURN Server</t>
        </is>
      </c>
      <c r="C3" s="46" t="inlineStr">
        <is>
          <t>V17.1.1</t>
        </is>
      </c>
      <c r="D3" s="47" t="inlineStr">
        <is>
          <t>Verify that the Traversal Using Relays around NAT (TURN) service only allows access to IP addresses that are not reserved for special purposes (e.g., internal networks, broadcast, loopback). Note that this applies to both IPv4 and IPv6 addresses.</t>
        </is>
      </c>
      <c r="E3" s="48" t="n">
        <v>2</v>
      </c>
      <c r="F3" s="49" t="inlineStr">
        <is>
          <t>Not Applicable</t>
        </is>
      </c>
      <c r="G3" s="47" t="inlineStr">
        <is>
          <t>SecureMarket is a JSON REST API; no WebRTC, TURN/STUN, DTLS-SRTP, or media/signaling servers are used.</t>
        </is>
      </c>
      <c r="H3" s="47" t="n"/>
    </row>
    <row r="4" ht="30" customHeight="1" s="28">
      <c r="A4" s="50" t="inlineStr">
        <is>
          <t>V17.1</t>
        </is>
      </c>
      <c r="B4" s="50" t="inlineStr">
        <is>
          <t>TURN Server</t>
        </is>
      </c>
      <c r="C4" s="51" t="inlineStr">
        <is>
          <t>V17.1.2</t>
        </is>
      </c>
      <c r="D4" s="52" t="inlineStr">
        <is>
          <t>Verify that the Traversal Using Relays around NAT (TURN) service is not susceptible to resource exhaustion when legitimate users attempt to open a large number of ports on the TURN server.</t>
        </is>
      </c>
      <c r="E4" s="54" t="n">
        <v>3</v>
      </c>
      <c r="F4" s="49" t="inlineStr">
        <is>
          <t>Not Applicable</t>
        </is>
      </c>
      <c r="G4" s="52" t="inlineStr">
        <is>
          <t>SecureMarket is a JSON REST API; no WebRTC, TURN/STUN, DTLS-SRTP, or media/signaling servers are used.</t>
        </is>
      </c>
      <c r="H4" s="52" t="n"/>
    </row>
    <row r="5" ht="18" customHeight="1" s="28">
      <c r="A5" s="44" t="inlineStr">
        <is>
          <t>V17.2</t>
        </is>
      </c>
      <c r="B5" s="44" t="inlineStr">
        <is>
          <t>Media</t>
        </is>
      </c>
      <c r="C5" s="44" t="n"/>
      <c r="D5" s="44" t="n"/>
      <c r="E5" s="44" t="n"/>
      <c r="F5" s="44" t="n"/>
      <c r="G5" s="44" t="n"/>
      <c r="H5" s="44" t="n"/>
    </row>
    <row r="6" ht="30" customHeight="1" s="28">
      <c r="A6" s="45" t="inlineStr">
        <is>
          <t>V17.2</t>
        </is>
      </c>
      <c r="B6" s="45" t="inlineStr">
        <is>
          <t>Media</t>
        </is>
      </c>
      <c r="C6" s="46" t="inlineStr">
        <is>
          <t>V17.2.1</t>
        </is>
      </c>
      <c r="D6" s="47" t="inlineStr">
        <is>
          <t>Verify that the key for the Datagram Transport Layer Security (DTLS) certificate is managed and protected based on the documented policy for management of cryptographic keys.</t>
        </is>
      </c>
      <c r="E6" s="48" t="n">
        <v>2</v>
      </c>
      <c r="F6" s="49" t="inlineStr">
        <is>
          <t>Not Applicable</t>
        </is>
      </c>
      <c r="G6" s="47" t="inlineStr">
        <is>
          <t>SecureMarket is a JSON REST API; no WebRTC, TURN/STUN, DTLS-SRTP, or media/signaling servers are used.</t>
        </is>
      </c>
      <c r="H6" s="47" t="n"/>
    </row>
    <row r="7" ht="30" customHeight="1" s="28">
      <c r="A7" s="50" t="inlineStr">
        <is>
          <t>V17.2</t>
        </is>
      </c>
      <c r="B7" s="50" t="inlineStr">
        <is>
          <t>Media</t>
        </is>
      </c>
      <c r="C7" s="51" t="inlineStr">
        <is>
          <t>V17.2.2</t>
        </is>
      </c>
      <c r="D7" s="52"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48" t="n">
        <v>2</v>
      </c>
      <c r="F7" s="49" t="inlineStr">
        <is>
          <t>Not Applicable</t>
        </is>
      </c>
      <c r="G7" s="52" t="inlineStr">
        <is>
          <t>SecureMarket is a JSON REST API; no WebRTC, TURN/STUN, DTLS-SRTP, or media/signaling servers are used.</t>
        </is>
      </c>
      <c r="H7" s="52" t="n"/>
    </row>
    <row r="8" ht="30" customHeight="1" s="28">
      <c r="A8" s="45" t="inlineStr">
        <is>
          <t>V17.2</t>
        </is>
      </c>
      <c r="B8" s="45" t="inlineStr">
        <is>
          <t>Media</t>
        </is>
      </c>
      <c r="C8" s="46" t="inlineStr">
        <is>
          <t>V17.2.3</t>
        </is>
      </c>
      <c r="D8" s="47"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48" t="n">
        <v>2</v>
      </c>
      <c r="F8" s="49" t="inlineStr">
        <is>
          <t>Not Applicable</t>
        </is>
      </c>
      <c r="G8" s="47" t="inlineStr">
        <is>
          <t>SecureMarket is a JSON REST API; no WebRTC, TURN/STUN, DTLS-SRTP, or media/signaling servers are used.</t>
        </is>
      </c>
      <c r="H8" s="47" t="n"/>
    </row>
    <row r="9" ht="30" customHeight="1" s="28">
      <c r="A9" s="50" t="inlineStr">
        <is>
          <t>V17.2</t>
        </is>
      </c>
      <c r="B9" s="50" t="inlineStr">
        <is>
          <t>Media</t>
        </is>
      </c>
      <c r="C9" s="51" t="inlineStr">
        <is>
          <t>V17.2.4</t>
        </is>
      </c>
      <c r="D9" s="52" t="inlineStr">
        <is>
          <t>Verify that the media server is able to continue processing incoming media traffic when encountering malformed Secure Real-time Transport Protocol (SRTP) packets.</t>
        </is>
      </c>
      <c r="E9" s="48" t="n">
        <v>2</v>
      </c>
      <c r="F9" s="49" t="inlineStr">
        <is>
          <t>Not Applicable</t>
        </is>
      </c>
      <c r="G9" s="52" t="inlineStr">
        <is>
          <t>SecureMarket is a JSON REST API; no WebRTC, TURN/STUN, DTLS-SRTP, or media/signaling servers are used.</t>
        </is>
      </c>
      <c r="H9" s="52" t="n"/>
    </row>
    <row r="10" ht="30" customHeight="1" s="28">
      <c r="A10" s="45" t="inlineStr">
        <is>
          <t>V17.2</t>
        </is>
      </c>
      <c r="B10" s="45" t="inlineStr">
        <is>
          <t>Media</t>
        </is>
      </c>
      <c r="C10" s="46" t="inlineStr">
        <is>
          <t>V17.2.5</t>
        </is>
      </c>
      <c r="D10" s="47" t="inlineStr">
        <is>
          <t>Verify that the media server is able to continue processing incoming media traffic during a flood of Secure Real-time Transport Protocol (SRTP) packets from legitimate users.</t>
        </is>
      </c>
      <c r="E10" s="54" t="n">
        <v>3</v>
      </c>
      <c r="F10" s="49" t="inlineStr">
        <is>
          <t>Not Applicable</t>
        </is>
      </c>
      <c r="G10" s="47" t="inlineStr">
        <is>
          <t>SecureMarket is a JSON REST API; no WebRTC, TURN/STUN, DTLS-SRTP, or media/signaling servers are used.</t>
        </is>
      </c>
      <c r="H10" s="47" t="n"/>
    </row>
    <row r="11" ht="30" customHeight="1" s="28">
      <c r="A11" s="50" t="inlineStr">
        <is>
          <t>V17.2</t>
        </is>
      </c>
      <c r="B11" s="50" t="inlineStr">
        <is>
          <t>Media</t>
        </is>
      </c>
      <c r="C11" s="51" t="inlineStr">
        <is>
          <t>V17.2.6</t>
        </is>
      </c>
      <c r="D11" s="52" t="inlineStr">
        <is>
          <t>Verify that the media server is not susceptible to the "ClientHello" Race Condition vulnerability in Datagram Transport Layer Security (DTLS) by checking if the media server is publicly known to be vulnerable or by performing the race condition test.</t>
        </is>
      </c>
      <c r="E11" s="54" t="n">
        <v>3</v>
      </c>
      <c r="F11" s="49" t="inlineStr">
        <is>
          <t>Not Applicable</t>
        </is>
      </c>
      <c r="G11" s="52" t="inlineStr">
        <is>
          <t>SecureMarket is a JSON REST API; no WebRTC, TURN/STUN, DTLS-SRTP, or media/signaling servers are used.</t>
        </is>
      </c>
      <c r="H11" s="52" t="n"/>
    </row>
    <row r="12" ht="30" customHeight="1" s="28">
      <c r="A12" s="45" t="inlineStr">
        <is>
          <t>V17.2</t>
        </is>
      </c>
      <c r="B12" s="45" t="inlineStr">
        <is>
          <t>Media</t>
        </is>
      </c>
      <c r="C12" s="46" t="inlineStr">
        <is>
          <t>V17.2.7</t>
        </is>
      </c>
      <c r="D12" s="47" t="inlineStr">
        <is>
          <t>Verify that any audio or video recording mechanisms associated with the media server are able to continue processing incoming media traffic during a flood of Secure Real-time Transport Protocol (SRTP) packets from legitimate users.</t>
        </is>
      </c>
      <c r="E12" s="54" t="n">
        <v>3</v>
      </c>
      <c r="F12" s="49" t="inlineStr">
        <is>
          <t>Not Applicable</t>
        </is>
      </c>
      <c r="G12" s="47" t="inlineStr">
        <is>
          <t>SecureMarket is a JSON REST API; no WebRTC, TURN/STUN, DTLS-SRTP, or media/signaling servers are used.</t>
        </is>
      </c>
      <c r="H12" s="47" t="n"/>
    </row>
    <row r="13" ht="30" customHeight="1" s="28">
      <c r="A13" s="50" t="inlineStr">
        <is>
          <t>V17.2</t>
        </is>
      </c>
      <c r="B13" s="50" t="inlineStr">
        <is>
          <t>Media</t>
        </is>
      </c>
      <c r="C13" s="51" t="inlineStr">
        <is>
          <t>V17.2.8</t>
        </is>
      </c>
      <c r="D13" s="52" t="inlineStr">
        <is>
          <t>Verify that the Datagram Transport Layer Security (DTLS) certificate is checked against the Session Description Protocol (SDP) fingerprint attribute, terminating the media stream if the check fails, to ensure the authenticity of the media stream.</t>
        </is>
      </c>
      <c r="E13" s="54" t="n">
        <v>3</v>
      </c>
      <c r="F13" s="49" t="inlineStr">
        <is>
          <t>Not Applicable</t>
        </is>
      </c>
      <c r="G13" s="52" t="inlineStr">
        <is>
          <t>SecureMarket is a JSON REST API; no WebRTC, TURN/STUN, DTLS-SRTP, or media/signaling servers are used.</t>
        </is>
      </c>
      <c r="H13" s="52" t="n"/>
    </row>
    <row r="14" ht="18" customHeight="1" s="28">
      <c r="A14" s="44" t="inlineStr">
        <is>
          <t>V17.3</t>
        </is>
      </c>
      <c r="B14" s="44" t="inlineStr">
        <is>
          <t>Signaling</t>
        </is>
      </c>
      <c r="C14" s="44" t="n"/>
      <c r="D14" s="44" t="n"/>
      <c r="E14" s="44" t="n"/>
      <c r="F14" s="44" t="n"/>
      <c r="G14" s="44" t="n"/>
      <c r="H14" s="44" t="n"/>
    </row>
    <row r="15" ht="30" customHeight="1" s="28">
      <c r="A15" s="45" t="inlineStr">
        <is>
          <t>V17.3</t>
        </is>
      </c>
      <c r="B15" s="45" t="inlineStr">
        <is>
          <t>Signaling</t>
        </is>
      </c>
      <c r="C15" s="46" t="inlineStr">
        <is>
          <t>V17.3.1</t>
        </is>
      </c>
      <c r="D15" s="47" t="inlineStr">
        <is>
          <t>Verify that the signaling server is able to continue processing legitimate incoming signaling messages during a flood attack. This should be achieved by implementing rate limiting at the signaling level.</t>
        </is>
      </c>
      <c r="E15" s="48" t="n">
        <v>2</v>
      </c>
      <c r="F15" s="49" t="inlineStr">
        <is>
          <t>Not Applicable</t>
        </is>
      </c>
      <c r="G15" s="47" t="inlineStr">
        <is>
          <t>SecureMarket is a JSON REST API; no WebRTC, TURN/STUN, DTLS-SRTP, or media/signaling servers are used.</t>
        </is>
      </c>
      <c r="H15" s="47" t="n"/>
    </row>
    <row r="16" ht="30" customHeight="1" s="28">
      <c r="A16" s="50" t="inlineStr">
        <is>
          <t>V17.3</t>
        </is>
      </c>
      <c r="B16" s="50" t="inlineStr">
        <is>
          <t>Signaling</t>
        </is>
      </c>
      <c r="C16" s="51" t="inlineStr">
        <is>
          <t>V17.3.2</t>
        </is>
      </c>
      <c r="D16" s="52"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48" t="n">
        <v>2</v>
      </c>
      <c r="F16" s="49" t="inlineStr">
        <is>
          <t>Not Applicable</t>
        </is>
      </c>
      <c r="G16" s="52" t="inlineStr">
        <is>
          <t>SecureMarket is a JSON REST API; no WebRTC, TURN/STUN, DTLS-SRTP, or media/signaling servers are used.</t>
        </is>
      </c>
      <c r="H16" s="52" t="n"/>
    </row>
  </sheetData>
  <conditionalFormatting sqref="F2:F16">
    <cfRule type="cellIs" rank="0" priority="2" equalAverage="0" operator="equal" aboveAverage="0" dxfId="0" text="" percent="0" bottom="0">
      <formula>"Compliant"</formula>
    </cfRule>
    <cfRule type="cellIs" rank="0" priority="3" equalAverage="0" operator="equal" aboveAverage="0" dxfId="1" text="" percent="0" bottom="0">
      <formula>"In Progress"</formula>
    </cfRule>
    <cfRule type="cellIs" rank="0" priority="4" equalAverage="0" operator="equal" aboveAverage="0" dxfId="2" text="" percent="0" bottom="0">
      <formula>"Not Applicable"</formula>
    </cfRule>
  </conditionalFormatting>
  <dataValidations count="1">
    <dataValidation sqref="F2:F1016" showDropDown="0" showInputMessage="0" showErrorMessage="0" allowBlank="1" type="list" operator="between">
      <formula1>"Not Started,In Progress,Compliant,Not Applicable"</formula1>
      <formula2>0</formula2>
    </dataValidation>
  </dataValidations>
  <printOptions horizontalCentered="0" verticalCentered="0" headings="0" gridLines="0" gridLinesSet="1"/>
  <pageMargins left="0.75" right="0.75" top="1" bottom="1" header="0.511805555555555" footer="0.511805555555555"/>
  <pageSetup orientation="portrait" paperSize="1" scale="100" fitToHeight="1" fitToWidth="1" firstPageNumber="0" useFirstPageNumber="0"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pt-PT</dc:language>
  <dcterms:created xsi:type="dcterms:W3CDTF">2026-03-04T10:14:28Z</dcterms:created>
  <dcterms:modified xsi:type="dcterms:W3CDTF">2026-06-14T12:55:13Z</dcterms:modified>
  <cp:revision>3</cp:revision>
</cp:coreProperties>
</file>

<file path=docProps/custom.xml><?xml version="1.0" encoding="utf-8"?>
<Properties xmlns:vt="http://schemas.openxmlformats.org/officeDocument/2006/docPropsVTypes" xmlns="http://schemas.openxmlformats.org/officeDocument/2006/custom-properties">
  <property name="AppVersion" fmtid="{D5CDD505-2E9C-101B-9397-08002B2CF9AE}" pid="2">
    <vt:lpwstr>3.1</vt:lpwstr>
  </property>
</Properties>
</file>