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mmary" sheetId="1" state="visible" r:id="rId1"/>
    <sheet xmlns:r="http://schemas.openxmlformats.org/officeDocument/2006/relationships" name="V1 - Encoding and Sanitization" sheetId="2" state="visible" r:id="rId2"/>
    <sheet xmlns:r="http://schemas.openxmlformats.org/officeDocument/2006/relationships" name="V2 - Validation and Business Lo" sheetId="3" state="visible" r:id="rId3"/>
    <sheet xmlns:r="http://schemas.openxmlformats.org/officeDocument/2006/relationships" name="V3 - Web Frontend Security" sheetId="4" state="visible" r:id="rId4"/>
    <sheet xmlns:r="http://schemas.openxmlformats.org/officeDocument/2006/relationships" name="V4 - API and Web Service" sheetId="5" state="visible" r:id="rId5"/>
    <sheet xmlns:r="http://schemas.openxmlformats.org/officeDocument/2006/relationships" name="V5 - File Handling" sheetId="6" state="visible" r:id="rId6"/>
    <sheet xmlns:r="http://schemas.openxmlformats.org/officeDocument/2006/relationships" name="V6 - Authentication" sheetId="7" state="visible" r:id="rId7"/>
    <sheet xmlns:r="http://schemas.openxmlformats.org/officeDocument/2006/relationships" name="V7 - Session Management" sheetId="8" state="visible" r:id="rId8"/>
    <sheet xmlns:r="http://schemas.openxmlformats.org/officeDocument/2006/relationships" name="V8 - Authorization" sheetId="9" state="visible" r:id="rId9"/>
    <sheet xmlns:r="http://schemas.openxmlformats.org/officeDocument/2006/relationships" name="V9 - Self-contained Tokens" sheetId="10" state="visible" r:id="rId10"/>
    <sheet xmlns:r="http://schemas.openxmlformats.org/officeDocument/2006/relationships" name="V10 - OAuth and OIDC" sheetId="11" state="visible" r:id="rId11"/>
    <sheet xmlns:r="http://schemas.openxmlformats.org/officeDocument/2006/relationships" name="V11 - Cryptography" sheetId="12" state="visible" r:id="rId12"/>
    <sheet xmlns:r="http://schemas.openxmlformats.org/officeDocument/2006/relationships" name="V12 - Secure Communication" sheetId="13" state="visible" r:id="rId13"/>
    <sheet xmlns:r="http://schemas.openxmlformats.org/officeDocument/2006/relationships" name="V13 - Configuration" sheetId="14" state="visible" r:id="rId14"/>
    <sheet xmlns:r="http://schemas.openxmlformats.org/officeDocument/2006/relationships" name="V14 - Data Protection" sheetId="15" state="visible" r:id="rId15"/>
    <sheet xmlns:r="http://schemas.openxmlformats.org/officeDocument/2006/relationships" name="V15 - Secure Coding and Archite" sheetId="16" state="visible" r:id="rId16"/>
    <sheet xmlns:r="http://schemas.openxmlformats.org/officeDocument/2006/relationships" name="V16 - Security Logging and Erro" sheetId="17" state="visible" r:id="rId17"/>
    <sheet xmlns:r="http://schemas.openxmlformats.org/officeDocument/2006/relationships" name="V17 - WebRTC" sheetId="18" state="visible" r:id="rId18"/>
  </sheets>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rgb="FF000000"/>
      <sz val="11"/>
    </font>
    <font>
      <name val="Arial"/>
      <family val="0"/>
      <sz val="10"/>
    </font>
    <font>
      <name val="Arial"/>
      <family val="0"/>
      <sz val="10"/>
    </font>
    <font>
      <name val="Arial"/>
      <family val="0"/>
      <sz val="10"/>
    </font>
    <font>
      <name val="Cambria"/>
      <charset val="1"/>
      <family val="0"/>
      <b val="1"/>
      <color rgb="FFFFFFFF"/>
      <sz val="16"/>
    </font>
    <font>
      <name val="Cambria"/>
      <charset val="1"/>
      <family val="0"/>
      <i val="1"/>
      <color rgb="FF595959"/>
      <sz val="10"/>
    </font>
    <font>
      <name val="Cambria"/>
      <charset val="1"/>
      <family val="0"/>
      <b val="1"/>
      <sz val="10"/>
    </font>
    <font>
      <name val="Cambria"/>
      <charset val="1"/>
      <family val="0"/>
      <b val="1"/>
      <sz val="9"/>
    </font>
    <font>
      <name val="Cambria"/>
      <charset val="1"/>
      <family val="0"/>
      <b val="1"/>
      <color rgb="FFFFFFFF"/>
      <sz val="9"/>
    </font>
    <font>
      <name val="Cambria"/>
      <charset val="1"/>
      <family val="0"/>
      <sz val="10"/>
    </font>
    <font>
      <name val="Cambria"/>
      <charset val="1"/>
      <family val="0"/>
      <b val="1"/>
      <color rgb="FFFFFFFF"/>
      <sz val="11"/>
    </font>
    <font>
      <name val="Cambria"/>
      <charset val="1"/>
      <family val="0"/>
      <b val="1"/>
      <color rgb="FFFFFFFF"/>
      <sz val="10"/>
    </font>
    <font>
      <name val="Arial"/>
      <family val="2"/>
      <sz val="10"/>
    </font>
    <font>
      <name val="Cambria"/>
      <charset val="1"/>
      <family val="0"/>
      <b val="1"/>
      <color rgb="FF1F3864"/>
      <sz val="10"/>
    </font>
  </fonts>
  <fills count="10">
    <fill>
      <patternFill/>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5">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0" borderId="0" applyAlignment="1" pivotButton="0" quotePrefix="0" xfId="0">
      <alignment horizontal="center" vertical="center"/>
    </xf>
    <xf numFmtId="0" fontId="6" fillId="0" borderId="0" applyAlignment="1" pivotButton="0" quotePrefix="0" xfId="0">
      <alignment horizontal="general" vertical="bottom"/>
    </xf>
    <xf numFmtId="0" fontId="7" fillId="0" borderId="0" applyAlignment="1" pivotButton="0" quotePrefix="0" xfId="0">
      <alignment horizontal="center" vertical="center"/>
    </xf>
    <xf numFmtId="0" fontId="8" fillId="2" borderId="1" applyAlignment="1" pivotButton="0" quotePrefix="0" xfId="0">
      <alignment horizontal="center" vertical="center" wrapText="1"/>
    </xf>
    <xf numFmtId="0" fontId="9" fillId="3" borderId="1" applyAlignment="1" pivotButton="0" quotePrefix="0" xfId="0">
      <alignment horizontal="left" vertical="center"/>
    </xf>
    <xf numFmtId="0" fontId="9" fillId="3" borderId="1" applyAlignment="1" pivotButton="0" quotePrefix="0" xfId="0">
      <alignment horizontal="center" vertical="center"/>
    </xf>
    <xf numFmtId="9" fontId="9" fillId="3" borderId="1" applyAlignment="1" pivotButton="0" quotePrefix="0" xfId="0">
      <alignment horizontal="center" vertical="center"/>
    </xf>
    <xf numFmtId="0" fontId="9" fillId="4" borderId="1" applyAlignment="1" pivotButton="0" quotePrefix="0" xfId="0">
      <alignment horizontal="left" vertical="center"/>
    </xf>
    <xf numFmtId="0" fontId="9" fillId="4" borderId="1" applyAlignment="1" pivotButton="0" quotePrefix="0" xfId="0">
      <alignment horizontal="center" vertical="center"/>
    </xf>
    <xf numFmtId="9" fontId="9" fillId="4" borderId="1" applyAlignment="1" pivotButton="0" quotePrefix="0" xfId="0">
      <alignment horizontal="center" vertical="center"/>
    </xf>
    <xf numFmtId="0" fontId="10" fillId="2" borderId="1" applyAlignment="1" pivotButton="0" quotePrefix="0" xfId="0">
      <alignment horizontal="general" vertical="bottom"/>
    </xf>
    <xf numFmtId="0" fontId="11" fillId="2" borderId="1" applyAlignment="1" pivotButton="0" quotePrefix="0" xfId="0">
      <alignment horizontal="center" vertical="center"/>
    </xf>
    <xf numFmtId="9" fontId="11" fillId="2" borderId="1" applyAlignment="1" pivotButton="0" quotePrefix="0" xfId="0">
      <alignment horizontal="center" vertical="center"/>
    </xf>
    <xf numFmtId="0" fontId="11" fillId="2" borderId="1" applyAlignment="1" pivotButton="0" quotePrefix="0" xfId="0">
      <alignment horizontal="center" vertical="center" wrapText="1"/>
    </xf>
    <xf numFmtId="0" fontId="13" fillId="5" borderId="1" applyAlignment="1" pivotButton="0" quotePrefix="0" xfId="0">
      <alignment horizontal="left" vertical="center"/>
    </xf>
    <xf numFmtId="0" fontId="0" fillId="3" borderId="1" applyAlignment="1" pivotButton="0" quotePrefix="0" xfId="0">
      <alignment horizontal="general" vertical="bottom"/>
    </xf>
    <xf numFmtId="0" fontId="0" fillId="3" borderId="1" applyAlignment="1" pivotButton="0" quotePrefix="0" xfId="0">
      <alignment horizontal="center" vertical="top"/>
    </xf>
    <xf numFmtId="0" fontId="0" fillId="3" borderId="1" applyAlignment="1" pivotButton="0" quotePrefix="0" xfId="0">
      <alignment horizontal="left" vertical="top" wrapText="1"/>
    </xf>
    <xf numFmtId="0" fontId="6" fillId="6" borderId="1" applyAlignment="1" pivotButton="0" quotePrefix="0" xfId="0">
      <alignment horizontal="center" vertical="top"/>
    </xf>
    <xf numFmtId="0" fontId="0" fillId="7" borderId="1" applyAlignment="1" pivotButton="0" quotePrefix="0" xfId="0">
      <alignment horizontal="center" vertical="top"/>
    </xf>
    <xf numFmtId="0" fontId="0" fillId="4" borderId="1" applyAlignment="1" pivotButton="0" quotePrefix="0" xfId="0">
      <alignment horizontal="general" vertical="bottom"/>
    </xf>
    <xf numFmtId="0" fontId="0" fillId="4" borderId="1" applyAlignment="1" pivotButton="0" quotePrefix="0" xfId="0">
      <alignment horizontal="center" vertical="top"/>
    </xf>
    <xf numFmtId="0" fontId="0" fillId="4" borderId="1" applyAlignment="1" pivotButton="0" quotePrefix="0" xfId="0">
      <alignment horizontal="left" vertical="top" wrapText="1"/>
    </xf>
    <xf numFmtId="0" fontId="6" fillId="8" borderId="1" applyAlignment="1" pivotButton="0" quotePrefix="0" xfId="0">
      <alignment horizontal="center" vertical="top"/>
    </xf>
    <xf numFmtId="0" fontId="6" fillId="9" borderId="1" applyAlignment="1" pivotButton="0" quotePrefix="0" xfId="0">
      <alignment horizontal="center" vertical="top"/>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0" borderId="0" applyAlignment="1" pivotButton="0" quotePrefix="0" xfId="0">
      <alignment horizontal="center" vertical="center"/>
    </xf>
    <xf numFmtId="0" fontId="6" fillId="0" borderId="0" applyAlignment="1" pivotButton="0" quotePrefix="0" xfId="0">
      <alignment horizontal="general" vertical="bottom"/>
    </xf>
    <xf numFmtId="0" fontId="7" fillId="0" borderId="0" applyAlignment="1" pivotButton="0" quotePrefix="0" xfId="0">
      <alignment horizontal="center" vertical="center"/>
    </xf>
    <xf numFmtId="0" fontId="8" fillId="2" borderId="1" applyAlignment="1" pivotButton="0" quotePrefix="0" xfId="0">
      <alignment horizontal="center" vertical="center" wrapText="1"/>
    </xf>
    <xf numFmtId="0" fontId="9" fillId="3" borderId="1" applyAlignment="1" pivotButton="0" quotePrefix="0" xfId="0">
      <alignment horizontal="left" vertical="center"/>
    </xf>
    <xf numFmtId="0" fontId="9" fillId="3" borderId="1" applyAlignment="1" pivotButton="0" quotePrefix="0" xfId="0">
      <alignment horizontal="center" vertical="center"/>
    </xf>
    <xf numFmtId="9" fontId="9" fillId="3" borderId="1" applyAlignment="1" pivotButton="0" quotePrefix="0" xfId="0">
      <alignment horizontal="center" vertical="center"/>
    </xf>
    <xf numFmtId="0" fontId="9" fillId="4" borderId="1" applyAlignment="1" pivotButton="0" quotePrefix="0" xfId="0">
      <alignment horizontal="left" vertical="center"/>
    </xf>
    <xf numFmtId="0" fontId="9" fillId="4" borderId="1" applyAlignment="1" pivotButton="0" quotePrefix="0" xfId="0">
      <alignment horizontal="center" vertical="center"/>
    </xf>
    <xf numFmtId="9" fontId="9" fillId="4" borderId="1" applyAlignment="1" pivotButton="0" quotePrefix="0" xfId="0">
      <alignment horizontal="center" vertical="center"/>
    </xf>
    <xf numFmtId="0" fontId="10" fillId="2" borderId="1" applyAlignment="1" pivotButton="0" quotePrefix="0" xfId="0">
      <alignment horizontal="general" vertical="bottom"/>
    </xf>
    <xf numFmtId="0" fontId="11" fillId="2" borderId="1" applyAlignment="1" pivotButton="0" quotePrefix="0" xfId="0">
      <alignment horizontal="center" vertical="center"/>
    </xf>
    <xf numFmtId="9" fontId="11" fillId="2" borderId="1" applyAlignment="1" pivotButton="0" quotePrefix="0" xfId="0">
      <alignment horizontal="center" vertical="center"/>
    </xf>
    <xf numFmtId="0" fontId="11" fillId="2" borderId="1" applyAlignment="1" pivotButton="0" quotePrefix="0" xfId="0">
      <alignment horizontal="center" vertical="center" wrapText="1"/>
    </xf>
    <xf numFmtId="0" fontId="13" fillId="5" borderId="1" applyAlignment="1" pivotButton="0" quotePrefix="0" xfId="0">
      <alignment horizontal="left" vertical="center"/>
    </xf>
    <xf numFmtId="0" fontId="0" fillId="3" borderId="1" applyAlignment="1" pivotButton="0" quotePrefix="0" xfId="0">
      <alignment horizontal="general" vertical="bottom"/>
    </xf>
    <xf numFmtId="0" fontId="0" fillId="3" borderId="1" applyAlignment="1" pivotButton="0" quotePrefix="0" xfId="0">
      <alignment horizontal="center" vertical="top"/>
    </xf>
    <xf numFmtId="0" fontId="0" fillId="3" borderId="1" applyAlignment="1" pivotButton="0" quotePrefix="0" xfId="0">
      <alignment horizontal="left" vertical="top" wrapText="1"/>
    </xf>
    <xf numFmtId="0" fontId="6" fillId="6" borderId="1" applyAlignment="1" pivotButton="0" quotePrefix="0" xfId="0">
      <alignment horizontal="center" vertical="top"/>
    </xf>
    <xf numFmtId="0" fontId="0" fillId="7" borderId="1" applyAlignment="1" pivotButton="0" quotePrefix="0" xfId="0">
      <alignment horizontal="center" vertical="top"/>
    </xf>
    <xf numFmtId="0" fontId="0" fillId="4" borderId="1" applyAlignment="1" pivotButton="0" quotePrefix="0" xfId="0">
      <alignment horizontal="general" vertical="bottom"/>
    </xf>
    <xf numFmtId="0" fontId="0" fillId="4" borderId="1" applyAlignment="1" pivotButton="0" quotePrefix="0" xfId="0">
      <alignment horizontal="center" vertical="top"/>
    </xf>
    <xf numFmtId="0" fontId="0" fillId="4" borderId="1" applyAlignment="1" pivotButton="0" quotePrefix="0" xfId="0">
      <alignment horizontal="left" vertical="top" wrapText="1"/>
    </xf>
    <xf numFmtId="0" fontId="6" fillId="8" borderId="1" applyAlignment="1" pivotButton="0" quotePrefix="0" xfId="0">
      <alignment horizontal="center" vertical="top"/>
    </xf>
    <xf numFmtId="0" fontId="6" fillId="9" borderId="1" applyAlignment="1" pivotButton="0" quotePrefix="0" xfId="0">
      <alignment horizontal="center"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dxf/>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harts/chart1.xml><?xml version="1.0" encoding="utf-8"?>
<chartSpace xmlns="http://schemas.openxmlformats.org/drawingml/2006/chart">
  <chart>
    <plotArea>
      <barChart>
        <barDir val="bar"/>
        <grouping val="clustered"/>
        <varyColors val="0"/>
        <ser>
          <idx val="0"/>
          <order val="0"/>
          <tx>
            <strRef>
              <f>Summary!$E$5</f>
              <strCache>
                <ptCount val="1"/>
                <pt idx="0">
                  <v>L1
%</v>
                </pt>
              </strCache>
            </strRef>
          </tx>
          <spPr>
            <a:solidFill xmlns:a="http://schemas.openxmlformats.org/drawingml/2006/main">
              <a:srgbClr val="c6efce"/>
            </a:solidFill>
            <a:ln xmlns:a="http://schemas.openxmlformats.org/drawingml/2006/main">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dLblPos val="outEnd"/>
            <showLegendKey val="0"/>
            <showVal val="0"/>
            <showCatName val="0"/>
            <showSerName val="0"/>
            <showPercent val="0"/>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Summary!$E$6:$E$22</f>
              <numCache>
                <formatCode>General</formatCode>
                <ptCount val="17"/>
                <pt idx="0">
                  <v>0</v>
                </pt>
                <pt idx="1">
                  <v>0</v>
                </pt>
                <pt idx="2">
                  <v>0</v>
                </pt>
                <pt idx="3">
                  <v>0</v>
                </pt>
                <pt idx="4">
                  <v>0</v>
                </pt>
                <pt idx="5">
                  <v>0</v>
                </pt>
                <pt idx="6">
                  <v>0</v>
                </pt>
                <pt idx="7">
                  <v>0</v>
                </pt>
                <pt idx="8">
                  <v>0</v>
                </pt>
                <pt idx="9">
                  <v>0</v>
                </pt>
                <pt idx="10">
                  <v>0</v>
                </pt>
                <pt idx="11">
                  <v>0</v>
                </pt>
                <pt idx="12">
                  <v>0</v>
                </pt>
                <pt idx="13">
                  <v>0</v>
                </pt>
                <pt idx="14">
                  <v>0</v>
                </pt>
              </numCache>
            </numRef>
          </val>
        </ser>
        <ser>
          <idx val="1"/>
          <order val="1"/>
          <tx>
            <strRef>
              <f>Summary!$H$5</f>
              <strCache>
                <ptCount val="1"/>
                <pt idx="0">
                  <v>L2
%</v>
                </pt>
              </strCache>
            </strRef>
          </tx>
          <spPr>
            <a:solidFill xmlns:a="http://schemas.openxmlformats.org/drawingml/2006/main">
              <a:srgbClr val="ffeb9c"/>
            </a:solidFill>
            <a:ln xmlns:a="http://schemas.openxmlformats.org/drawingml/2006/main">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dLblPos val="outEnd"/>
            <showLegendKey val="0"/>
            <showVal val="0"/>
            <showCatName val="0"/>
            <showSerName val="0"/>
            <showPercent val="0"/>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Summary!$H$6:$H$22</f>
              <numCache>
                <formatCode>General</formatCode>
                <ptCount val="17"/>
                <pt idx="0">
                  <v>0</v>
                </pt>
                <pt idx="1">
                  <v>0</v>
                </pt>
                <pt idx="2">
                  <v>0</v>
                </pt>
                <pt idx="3">
                  <v>0</v>
                </pt>
                <pt idx="4">
                  <v>0</v>
                </pt>
                <pt idx="5">
                  <v>0</v>
                </pt>
                <pt idx="6">
                  <v>0</v>
                </pt>
                <pt idx="7">
                  <v>0</v>
                </pt>
                <pt idx="8">
                  <v>0</v>
                </pt>
                <pt idx="9">
                  <v>0</v>
                </pt>
                <pt idx="10">
                  <v>0</v>
                </pt>
                <pt idx="11">
                  <v>0</v>
                </pt>
                <pt idx="12">
                  <v>0</v>
                </pt>
                <pt idx="13">
                  <v>0</v>
                </pt>
                <pt idx="14">
                  <v>0</v>
                </pt>
                <pt idx="15">
                  <v>0</v>
                </pt>
                <pt idx="16">
                  <v>0</v>
                </pt>
              </numCache>
            </numRef>
          </val>
        </ser>
        <ser>
          <idx val="2"/>
          <order val="2"/>
          <tx>
            <strRef>
              <f>Summary!$K$5</f>
              <strCache>
                <ptCount val="1"/>
                <pt idx="0">
                  <v>L3
%</v>
                </pt>
              </strCache>
            </strRef>
          </tx>
          <spPr>
            <a:solidFill xmlns:a="http://schemas.openxmlformats.org/drawingml/2006/main">
              <a:srgbClr val="fabf8f"/>
            </a:solidFill>
            <a:ln xmlns:a="http://schemas.openxmlformats.org/drawingml/2006/main">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dLblPos val="outEnd"/>
            <showLegendKey val="0"/>
            <showVal val="0"/>
            <showCatName val="0"/>
            <showSerName val="0"/>
            <showPercent val="0"/>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Summary!$K$6:$K$21</f>
              <numCache>
                <formatCode>General</formatCode>
                <ptCount val="16"/>
                <pt idx="0">
                  <v>0</v>
                </pt>
                <pt idx="1">
                  <v>0</v>
                </pt>
                <pt idx="2">
                  <v>0</v>
                </pt>
                <pt idx="3">
                  <v>0</v>
                </pt>
                <pt idx="4">
                  <v>0</v>
                </pt>
                <pt idx="5">
                  <v>0</v>
                </pt>
                <pt idx="6">
                  <v>0</v>
                </pt>
                <pt idx="7">
                  <v>0</v>
                </pt>
                <pt idx="9">
                  <v>0</v>
                </pt>
                <pt idx="10">
                  <v>0</v>
                </pt>
                <pt idx="11">
                  <v>0</v>
                </pt>
                <pt idx="12">
                  <v>0</v>
                </pt>
                <pt idx="13">
                  <v>0</v>
                </pt>
                <pt idx="14">
                  <v>0</v>
                </pt>
                <pt idx="15">
                  <v>0</v>
                </pt>
              </numCache>
            </numRef>
          </val>
        </ser>
        <ser>
          <idx val="3"/>
          <order val="3"/>
          <tx>
            <strRef>
              <f>Summary!$M$5</f>
              <strCache>
                <ptCount val="1"/>
                <pt idx="0">
                  <v>Overall
%</v>
                </pt>
              </strCache>
            </strRef>
          </tx>
          <spPr>
            <a:solidFill xmlns:a="http://schemas.openxmlformats.org/drawingml/2006/main">
              <a:srgbClr val="579d1c"/>
            </a:solidFill>
            <a:ln xmlns:a="http://schemas.openxmlformats.org/drawingml/2006/main">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dLblPos val="outEnd"/>
            <showLegendKey val="0"/>
            <showVal val="0"/>
            <showCatName val="0"/>
            <showSerName val="0"/>
            <showPercent val="0"/>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Summary!$M$6:$M$22</f>
              <numCache>
                <formatCode>General</formatCode>
                <ptCount val="17"/>
                <pt idx="0">
                  <v>0</v>
                </pt>
                <pt idx="1">
                  <v>0</v>
                </pt>
                <pt idx="2">
                  <v>0</v>
                </pt>
                <pt idx="3">
                  <v>0</v>
                </pt>
                <pt idx="4">
                  <v>0</v>
                </pt>
                <pt idx="5">
                  <v>0</v>
                </pt>
                <pt idx="6">
                  <v>0</v>
                </pt>
                <pt idx="7">
                  <v>0</v>
                </pt>
                <pt idx="8">
                  <v>0</v>
                </pt>
                <pt idx="9">
                  <v>0</v>
                </pt>
                <pt idx="10">
                  <v>0</v>
                </pt>
                <pt idx="11">
                  <v>0</v>
                </pt>
                <pt idx="12">
                  <v>0</v>
                </pt>
                <pt idx="13">
                  <v>0</v>
                </pt>
                <pt idx="14">
                  <v>0</v>
                </pt>
                <pt idx="15">
                  <v>0</v>
                </pt>
                <pt idx="16">
                  <v>0</v>
                </pt>
              </numCache>
            </numRef>
          </val>
        </ser>
        <gapWidth val="100"/>
        <overlap val="0"/>
        <axId val="28005530"/>
        <axId val="73737639"/>
      </barChart>
      <catAx>
        <axId val="28005530"/>
        <scaling>
          <orientation val="minMax"/>
        </scaling>
        <delete val="0"/>
        <axPos val="b"/>
        <numFmt formatCode="General" sourceLinked="1"/>
        <majorTickMark val="out"/>
        <minorTickMark val="none"/>
        <tickLblPos val="nextTo"/>
        <spPr>
          <a:ln xmlns:a="http://schemas.openxmlformats.org/drawingml/2006/main">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crossAx val="73737639"/>
        <crosses val="autoZero"/>
        <auto val="1"/>
        <lblAlgn val="ctr"/>
        <lblOffset val="100"/>
        <noMultiLvlLbl val="0"/>
      </catAx>
      <valAx>
        <axId val="73737639"/>
        <scaling>
          <orientation val="minMax"/>
        </scaling>
        <delete val="0"/>
        <axPos val="l"/>
        <majorGridlines>
          <spPr>
            <a:ln xmlns:a="http://schemas.openxmlformats.org/drawingml/2006/main">
              <a:solidFill>
                <a:srgbClr val="b3b3b3"/>
              </a:solidFill>
              <a:prstDash val="solid"/>
            </a:ln>
          </spPr>
        </majorGridlines>
        <numFmt formatCode="0%" sourceLinked="0"/>
        <majorTickMark val="out"/>
        <minorTickMark val="none"/>
        <tickLblPos val="nextTo"/>
        <spPr>
          <a:ln xmlns:a="http://schemas.openxmlformats.org/drawingml/2006/main">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crossAx val="28005530"/>
        <crosses val="autoZero"/>
        <crossBetween val="between"/>
      </valAx>
    </plotArea>
    <legend>
      <legendPos val="r"/>
      <overlay val="0"/>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legend>
    <plotVisOnly val="1"/>
    <dispBlanksAs val="gap"/>
  </chart>
  <spPr>
    <a:solidFill xmlns:a="http://schemas.openxmlformats.org/drawingml/2006/main">
      <a:srgbClr val="ffffff"/>
    </a:solidFill>
    <a:ln xmlns:a="http://schemas.openxmlformats.org/drawingml/2006/main" w="9360">
      <a:no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oneCell">
    <from>
      <col>0</col>
      <colOff>38880</colOff>
      <row>24</row>
      <rowOff>10440</rowOff>
    </from>
    <to>
      <col>12</col>
      <colOff>857520</colOff>
      <row>47</row>
      <rowOff>56880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0"/>
  </sheetPr>
  <dimension ref="A1:P23"/>
  <sheetViews>
    <sheetView showFormulas="0" showGridLines="0" showRowColHeaders="1" showZeros="1" rightToLeft="0" tabSelected="1" showOutlineSymbols="1" defaultGridColor="1" view="normal" topLeftCell="A1" colorId="64" zoomScale="75" zoomScaleNormal="75" zoomScalePageLayoutView="100" workbookViewId="0">
      <selection pane="topLeft" activeCell="S40" activeCellId="0" sqref="S40"/>
    </sheetView>
  </sheetViews>
  <sheetFormatPr baseColWidth="8" defaultColWidth="8.54296875" defaultRowHeight="15" zeroHeight="0" outlineLevelRow="0"/>
  <cols>
    <col width="34" customWidth="1" style="27" min="1" max="1"/>
    <col width="11" customWidth="1" style="27" min="2" max="13"/>
  </cols>
  <sheetData>
    <row r="1" ht="36" customHeight="1" s="28">
      <c r="A1" s="29" t="inlineStr">
        <is>
          <t>OWASP ASVS 5.0 – Compliance Tracker</t>
        </is>
      </c>
    </row>
    <row r="2" ht="20" customHeight="1" s="28">
      <c r="A2" s="30" t="n"/>
    </row>
    <row r="3" ht="18" customHeight="1" s="28">
      <c r="A3" s="31" t="n"/>
      <c r="C3" s="32" t="n"/>
      <c r="E3" s="32" t="n"/>
      <c r="G3" s="32" t="n"/>
      <c r="I3" s="32" t="n"/>
      <c r="K3" s="32" t="n"/>
      <c r="M3" s="32" t="n"/>
      <c r="O3" s="32" t="n"/>
    </row>
    <row r="4"/>
    <row r="5" ht="32" customHeight="1" s="28">
      <c r="A5" s="33" t="inlineStr">
        <is>
          <t>Chapter</t>
        </is>
      </c>
      <c r="B5" s="33" t="inlineStr">
        <is>
          <t>Total
Reqs</t>
        </is>
      </c>
      <c r="C5" s="33" t="inlineStr">
        <is>
          <t>L1
Total</t>
        </is>
      </c>
      <c r="D5" s="33" t="inlineStr">
        <is>
          <t>L1
Compliant</t>
        </is>
      </c>
      <c r="E5" s="33" t="inlineStr">
        <is>
          <t>L1
%</t>
        </is>
      </c>
      <c r="F5" s="33" t="inlineStr">
        <is>
          <t>L2
Total</t>
        </is>
      </c>
      <c r="G5" s="33" t="inlineStr">
        <is>
          <t>L2
Compliant</t>
        </is>
      </c>
      <c r="H5" s="33" t="inlineStr">
        <is>
          <t>L2
%</t>
        </is>
      </c>
      <c r="I5" s="33" t="inlineStr">
        <is>
          <t>L3
Total</t>
        </is>
      </c>
      <c r="J5" s="33" t="inlineStr">
        <is>
          <t>L3
Compliant</t>
        </is>
      </c>
      <c r="K5" s="33" t="inlineStr">
        <is>
          <t>L3
%</t>
        </is>
      </c>
      <c r="L5" s="33" t="inlineStr">
        <is>
          <t>Overall
Compliant</t>
        </is>
      </c>
      <c r="M5" s="33" t="inlineStr">
        <is>
          <t>Overall
%</t>
        </is>
      </c>
    </row>
    <row r="6" ht="18" customHeight="1" s="28">
      <c r="A6" s="34" t="inlineStr">
        <is>
          <t>V1 – Encoding and Sanitization</t>
        </is>
      </c>
      <c r="B6" s="35" t="n">
        <v>30</v>
      </c>
      <c r="C6" s="35" t="n">
        <v>8</v>
      </c>
      <c r="D6" s="35">
        <f>COUNTIFS('V1 - Encoding and Sanitization'!$F$2:$F$36,"Compliant",'V1 - Encoding and Sanitization'!$E$2:$E$36,1)</f>
        <v/>
      </c>
      <c r="E6" s="36">
        <f>IF(C6=0,"",D6/C6)</f>
        <v/>
      </c>
      <c r="F6" s="35" t="n">
        <v>19</v>
      </c>
      <c r="G6" s="35">
        <f>COUNTIFS('V1 - Encoding and Sanitization'!$F$2:$F$36,"Compliant",'V1 - Encoding and Sanitization'!$E$2:$E$36,2)</f>
        <v/>
      </c>
      <c r="H6" s="36">
        <f>IF(F6=0,"",G6/F6)</f>
        <v/>
      </c>
      <c r="I6" s="35" t="n">
        <v>3</v>
      </c>
      <c r="J6" s="35">
        <f>COUNTIFS('V1 - Encoding and Sanitization'!$F$2:$F$36,"Compliant",'V1 - Encoding and Sanitization'!$E$2:$E$36,3)</f>
        <v/>
      </c>
      <c r="K6" s="36">
        <f>IF(I6=0,"",J6/I6)</f>
        <v/>
      </c>
      <c r="L6" s="35">
        <f>COUNTIF('V1 - Encoding and Sanitization'!$F$2:$F$36,"Compliant")</f>
        <v/>
      </c>
      <c r="M6" s="36">
        <f>IF(B6=0,"",L6/B6)</f>
        <v/>
      </c>
    </row>
    <row r="7" ht="18" customHeight="1" s="28">
      <c r="A7" s="37" t="inlineStr">
        <is>
          <t>V2 – Validation and Business Logic</t>
        </is>
      </c>
      <c r="B7" s="38" t="n">
        <v>13</v>
      </c>
      <c r="C7" s="38" t="n">
        <v>4</v>
      </c>
      <c r="D7" s="38">
        <f>COUNTIFS('V2 - Validation and Business Lo'!$F$2:$F$18,"Compliant",'V2 - Validation and Business Lo'!$E$2:$E$18,1)</f>
        <v/>
      </c>
      <c r="E7" s="39">
        <f>IF(C7=0,"",D7/C7)</f>
        <v/>
      </c>
      <c r="F7" s="38" t="n">
        <v>7</v>
      </c>
      <c r="G7" s="38">
        <f>COUNTIFS('V2 - Validation and Business Lo'!$F$2:$F$18,"Compliant",'V2 - Validation and Business Lo'!$E$2:$E$18,2)</f>
        <v/>
      </c>
      <c r="H7" s="39">
        <f>IF(F7=0,"",G7/F7)</f>
        <v/>
      </c>
      <c r="I7" s="38" t="n">
        <v>2</v>
      </c>
      <c r="J7" s="38">
        <f>COUNTIFS('V2 - Validation and Business Lo'!$F$2:$F$18,"Compliant",'V2 - Validation and Business Lo'!$E$2:$E$18,3)</f>
        <v/>
      </c>
      <c r="K7" s="39">
        <f>IF(I7=0,"",J7/I7)</f>
        <v/>
      </c>
      <c r="L7" s="38">
        <f>COUNTIF('V2 - Validation and Business Lo'!$F$2:$F$18,"Compliant")</f>
        <v/>
      </c>
      <c r="M7" s="39">
        <f>IF(B7=0,"",L7/B7)</f>
        <v/>
      </c>
    </row>
    <row r="8" ht="18" customHeight="1" s="28">
      <c r="A8" s="34" t="inlineStr">
        <is>
          <t>V3 – Web Frontend Security</t>
        </is>
      </c>
      <c r="B8" s="35" t="n">
        <v>31</v>
      </c>
      <c r="C8" s="35" t="n">
        <v>8</v>
      </c>
      <c r="D8" s="35">
        <f>COUNTIFS('V3 - Web Frontend Security'!$F$2:$F$39,"Compliant",'V3 - Web Frontend Security'!$E$2:$E$39,1)</f>
        <v/>
      </c>
      <c r="E8" s="36">
        <f>IF(C8=0,"",D8/C8)</f>
        <v/>
      </c>
      <c r="F8" s="35" t="n">
        <v>11</v>
      </c>
      <c r="G8" s="35">
        <f>COUNTIFS('V3 - Web Frontend Security'!$F$2:$F$39,"Compliant",'V3 - Web Frontend Security'!$E$2:$E$39,2)</f>
        <v/>
      </c>
      <c r="H8" s="36">
        <f>IF(F8=0,"",G8/F8)</f>
        <v/>
      </c>
      <c r="I8" s="35" t="n">
        <v>12</v>
      </c>
      <c r="J8" s="35">
        <f>COUNTIFS('V3 - Web Frontend Security'!$F$2:$F$39,"Compliant",'V3 - Web Frontend Security'!$E$2:$E$39,3)</f>
        <v/>
      </c>
      <c r="K8" s="36">
        <f>IF(I8=0,"",J8/I8)</f>
        <v/>
      </c>
      <c r="L8" s="35">
        <f>COUNTIF('V3 - Web Frontend Security'!$F$2:$F$39,"Compliant")</f>
        <v/>
      </c>
      <c r="M8" s="36">
        <f>IF(B8=0,"",L8/B8)</f>
        <v/>
      </c>
    </row>
    <row r="9" ht="18" customHeight="1" s="28">
      <c r="A9" s="37" t="inlineStr">
        <is>
          <t>V4 – API and Web Service</t>
        </is>
      </c>
      <c r="B9" s="38" t="n">
        <v>16</v>
      </c>
      <c r="C9" s="38" t="n">
        <v>2</v>
      </c>
      <c r="D9" s="38">
        <f>COUNTIFS('V4 - API and Web Service'!$F$2:$F$21,"Compliant",'V4 - API and Web Service'!$E$2:$E$21,1)</f>
        <v/>
      </c>
      <c r="E9" s="39">
        <f>IF(C9=0,"",D9/C9)</f>
        <v/>
      </c>
      <c r="F9" s="38" t="n">
        <v>8</v>
      </c>
      <c r="G9" s="38">
        <f>COUNTIFS('V4 - API and Web Service'!$F$2:$F$21,"Compliant",'V4 - API and Web Service'!$E$2:$E$21,2)</f>
        <v/>
      </c>
      <c r="H9" s="39">
        <f>IF(F9=0,"",G9/F9)</f>
        <v/>
      </c>
      <c r="I9" s="38" t="n">
        <v>6</v>
      </c>
      <c r="J9" s="38">
        <f>COUNTIFS('V4 - API and Web Service'!$F$2:$F$21,"Compliant",'V4 - API and Web Service'!$E$2:$E$21,3)</f>
        <v/>
      </c>
      <c r="K9" s="39">
        <f>IF(I9=0,"",J9/I9)</f>
        <v/>
      </c>
      <c r="L9" s="38">
        <f>COUNTIF('V4 - API and Web Service'!$F$2:$F$21,"Compliant")</f>
        <v/>
      </c>
      <c r="M9" s="39">
        <f>IF(B9=0,"",L9/B9)</f>
        <v/>
      </c>
    </row>
    <row r="10" ht="18" customHeight="1" s="28">
      <c r="A10" s="34" t="inlineStr">
        <is>
          <t>V5 – File Handling</t>
        </is>
      </c>
      <c r="B10" s="35" t="n">
        <v>13</v>
      </c>
      <c r="C10" s="35" t="n">
        <v>4</v>
      </c>
      <c r="D10" s="35">
        <f>COUNTIFS('V5 - File Handling'!$F$2:$F$18,"Compliant",'V5 - File Handling'!$E$2:$E$18,1)</f>
        <v/>
      </c>
      <c r="E10" s="36">
        <f>IF(C10=0,"",D10/C10)</f>
        <v/>
      </c>
      <c r="F10" s="35" t="n">
        <v>5</v>
      </c>
      <c r="G10" s="35">
        <f>COUNTIFS('V5 - File Handling'!$F$2:$F$18,"Compliant",'V5 - File Handling'!$E$2:$E$18,2)</f>
        <v/>
      </c>
      <c r="H10" s="36">
        <f>IF(F10=0,"",G10/F10)</f>
        <v/>
      </c>
      <c r="I10" s="35" t="n">
        <v>4</v>
      </c>
      <c r="J10" s="35">
        <f>COUNTIFS('V5 - File Handling'!$F$2:$F$18,"Compliant",'V5 - File Handling'!$E$2:$E$18,3)</f>
        <v/>
      </c>
      <c r="K10" s="36">
        <f>IF(I10=0,"",J10/I10)</f>
        <v/>
      </c>
      <c r="L10" s="35">
        <f>COUNTIF('V5 - File Handling'!$F$2:$F$18,"Compliant")</f>
        <v/>
      </c>
      <c r="M10" s="36">
        <f>IF(B10=0,"",L10/B10)</f>
        <v/>
      </c>
    </row>
    <row r="11" ht="18" customHeight="1" s="28">
      <c r="A11" s="37" t="inlineStr">
        <is>
          <t>V6 – Authentication</t>
        </is>
      </c>
      <c r="B11" s="38" t="n">
        <v>47</v>
      </c>
      <c r="C11" s="38" t="n">
        <v>13</v>
      </c>
      <c r="D11" s="38">
        <f>COUNTIFS('V6 - Authentication'!$F$2:$F$56,"Compliant",'V6 - Authentication'!$E$2:$E$56,1)</f>
        <v/>
      </c>
      <c r="E11" s="39">
        <f>IF(C11=0,"",D11/C11)</f>
        <v/>
      </c>
      <c r="F11" s="38" t="n">
        <v>22</v>
      </c>
      <c r="G11" s="38">
        <f>COUNTIFS('V6 - Authentication'!$F$2:$F$56,"Compliant",'V6 - Authentication'!$E$2:$E$56,2)</f>
        <v/>
      </c>
      <c r="H11" s="39">
        <f>IF(F11=0,"",G11/F11)</f>
        <v/>
      </c>
      <c r="I11" s="38" t="n">
        <v>12</v>
      </c>
      <c r="J11" s="38">
        <f>COUNTIFS('V6 - Authentication'!$F$2:$F$56,"Compliant",'V6 - Authentication'!$E$2:$E$56,3)</f>
        <v/>
      </c>
      <c r="K11" s="39">
        <f>IF(I11=0,"",J11/I11)</f>
        <v/>
      </c>
      <c r="L11" s="38">
        <f>COUNTIF('V6 - Authentication'!$F$2:$F$56,"Compliant")</f>
        <v/>
      </c>
      <c r="M11" s="39">
        <f>IF(B11=0,"",L11/B11)</f>
        <v/>
      </c>
    </row>
    <row r="12" ht="18" customHeight="1" s="28">
      <c r="A12" s="34" t="inlineStr">
        <is>
          <t>V7 – Session Management</t>
        </is>
      </c>
      <c r="B12" s="35" t="n">
        <v>19</v>
      </c>
      <c r="C12" s="35" t="n">
        <v>6</v>
      </c>
      <c r="D12" s="35">
        <f>COUNTIFS('V7 - Session Management'!$F$2:$F$26,"Compliant",'V7 - Session Management'!$E$2:$E$26,1)</f>
        <v/>
      </c>
      <c r="E12" s="36">
        <f>IF(C12=0,"",D12/C12)</f>
        <v/>
      </c>
      <c r="F12" s="35" t="n">
        <v>12</v>
      </c>
      <c r="G12" s="35">
        <f>COUNTIFS('V7 - Session Management'!$F$2:$F$26,"Compliant",'V7 - Session Management'!$E$2:$E$26,2)</f>
        <v/>
      </c>
      <c r="H12" s="36">
        <f>IF(F12=0,"",G12/F12)</f>
        <v/>
      </c>
      <c r="I12" s="35" t="n">
        <v>1</v>
      </c>
      <c r="J12" s="35">
        <f>COUNTIFS('V7 - Session Management'!$F$2:$F$26,"Compliant",'V7 - Session Management'!$E$2:$E$26,3)</f>
        <v/>
      </c>
      <c r="K12" s="36">
        <f>IF(I12=0,"",J12/I12)</f>
        <v/>
      </c>
      <c r="L12" s="35">
        <f>COUNTIF('V7 - Session Management'!$F$2:$F$26,"Compliant")</f>
        <v/>
      </c>
      <c r="M12" s="36">
        <f>IF(B12=0,"",L12/B12)</f>
        <v/>
      </c>
    </row>
    <row r="13" ht="18" customHeight="1" s="28">
      <c r="A13" s="37" t="inlineStr">
        <is>
          <t>V8 – Authorization</t>
        </is>
      </c>
      <c r="B13" s="38" t="n">
        <v>13</v>
      </c>
      <c r="C13" s="38" t="n">
        <v>4</v>
      </c>
      <c r="D13" s="38">
        <f>COUNTIFS('V8 - Authorization'!$F$2:$F$18,"Compliant",'V8 - Authorization'!$E$2:$E$18,1)</f>
        <v/>
      </c>
      <c r="E13" s="39">
        <f>IF(C13=0,"",D13/C13)</f>
        <v/>
      </c>
      <c r="F13" s="38" t="n">
        <v>3</v>
      </c>
      <c r="G13" s="38">
        <f>COUNTIFS('V8 - Authorization'!$F$2:$F$18,"Compliant",'V8 - Authorization'!$E$2:$E$18,2)</f>
        <v/>
      </c>
      <c r="H13" s="39">
        <f>IF(F13=0,"",G13/F13)</f>
        <v/>
      </c>
      <c r="I13" s="38" t="n">
        <v>6</v>
      </c>
      <c r="J13" s="38">
        <f>COUNTIFS('V8 - Authorization'!$F$2:$F$18,"Compliant",'V8 - Authorization'!$E$2:$E$18,3)</f>
        <v/>
      </c>
      <c r="K13" s="39">
        <f>IF(I13=0,"",J13/I13)</f>
        <v/>
      </c>
      <c r="L13" s="38">
        <f>COUNTIF('V8 - Authorization'!$F$2:$F$18,"Compliant")</f>
        <v/>
      </c>
      <c r="M13" s="39">
        <f>IF(B13=0,"",L13/B13)</f>
        <v/>
      </c>
    </row>
    <row r="14" ht="18" customHeight="1" s="28">
      <c r="A14" s="34" t="inlineStr">
        <is>
          <t>V9 – Self-contained Tokens</t>
        </is>
      </c>
      <c r="B14" s="35" t="n">
        <v>7</v>
      </c>
      <c r="C14" s="35" t="n">
        <v>4</v>
      </c>
      <c r="D14" s="35">
        <f>COUNTIFS('V9 - Self-contained Tokens'!$F$2:$F$10,"Compliant",'V9 - Self-contained Tokens'!$E$2:$E$10,1)</f>
        <v/>
      </c>
      <c r="E14" s="36">
        <f>IF(C14=0,"",D14/C14)</f>
        <v/>
      </c>
      <c r="F14" s="35" t="n">
        <v>3</v>
      </c>
      <c r="G14" s="35">
        <f>COUNTIFS('V9 - Self-contained Tokens'!$F$2:$F$10,"Compliant",'V9 - Self-contained Tokens'!$E$2:$E$10,2)</f>
        <v/>
      </c>
      <c r="H14" s="36">
        <f>IF(F14=0,"",G14/F14)</f>
        <v/>
      </c>
      <c r="I14" s="35" t="n">
        <v>0</v>
      </c>
      <c r="J14" s="35" t="inlineStr">
        <is>
          <t>N/A</t>
        </is>
      </c>
      <c r="K14" s="35" t="inlineStr">
        <is>
          <t>N/A</t>
        </is>
      </c>
      <c r="L14" s="35">
        <f>COUNTIF('V9 - Self-contained Tokens'!$F$2:$F$10,"Compliant")</f>
        <v/>
      </c>
      <c r="M14" s="36">
        <f>IF(B14=0,"",L14/B14)</f>
        <v/>
      </c>
    </row>
    <row r="15" ht="18" customHeight="1" s="28">
      <c r="A15" s="37" t="inlineStr">
        <is>
          <t>V10 – OAuth and OIDC</t>
        </is>
      </c>
      <c r="B15" s="38" t="n">
        <v>36</v>
      </c>
      <c r="C15" s="38" t="n">
        <v>5</v>
      </c>
      <c r="D15" s="38">
        <f>COUNTIFS('V10 - OAuth and OIDC'!$F$2:$F$44,"Compliant",'V10 - OAuth and OIDC'!$E$2:$E$44,1)</f>
        <v/>
      </c>
      <c r="E15" s="39">
        <f>IF(C15=0,"",D15/C15)</f>
        <v/>
      </c>
      <c r="F15" s="38" t="n">
        <v>24</v>
      </c>
      <c r="G15" s="38">
        <f>COUNTIFS('V10 - OAuth and OIDC'!$F$2:$F$44,"Compliant",'V10 - OAuth and OIDC'!$E$2:$E$44,2)</f>
        <v/>
      </c>
      <c r="H15" s="39">
        <f>IF(F15=0,"",G15/F15)</f>
        <v/>
      </c>
      <c r="I15" s="38" t="n">
        <v>7</v>
      </c>
      <c r="J15" s="38">
        <f>COUNTIFS('V10 - OAuth and OIDC'!$F$2:$F$44,"Compliant",'V10 - OAuth and OIDC'!$E$2:$E$44,3)</f>
        <v/>
      </c>
      <c r="K15" s="39">
        <f>IF(I15=0,"",J15/I15)</f>
        <v/>
      </c>
      <c r="L15" s="38">
        <f>COUNTIF('V10 - OAuth and OIDC'!$F$2:$F$44,"Compliant")</f>
        <v/>
      </c>
      <c r="M15" s="39">
        <f>IF(B15=0,"",L15/B15)</f>
        <v/>
      </c>
    </row>
    <row r="16" ht="18" customHeight="1" s="28">
      <c r="A16" s="34" t="inlineStr">
        <is>
          <t>V11 – Cryptography</t>
        </is>
      </c>
      <c r="B16" s="35" t="n">
        <v>24</v>
      </c>
      <c r="C16" s="35" t="n">
        <v>3</v>
      </c>
      <c r="D16" s="35">
        <f>COUNTIFS('V11 - Cryptography'!$F$2:$F$32,"Compliant",'V11 - Cryptography'!$E$2:$E$32,1)</f>
        <v/>
      </c>
      <c r="E16" s="36">
        <f>IF(C16=0,"",D16/C16)</f>
        <v/>
      </c>
      <c r="F16" s="35" t="n">
        <v>11</v>
      </c>
      <c r="G16" s="35">
        <f>COUNTIFS('V11 - Cryptography'!$F$2:$F$32,"Compliant",'V11 - Cryptography'!$E$2:$E$32,2)</f>
        <v/>
      </c>
      <c r="H16" s="36">
        <f>IF(F16=0,"",G16/F16)</f>
        <v/>
      </c>
      <c r="I16" s="35" t="n">
        <v>10</v>
      </c>
      <c r="J16" s="35">
        <f>COUNTIFS('V11 - Cryptography'!$F$2:$F$32,"Compliant",'V11 - Cryptography'!$E$2:$E$32,3)</f>
        <v/>
      </c>
      <c r="K16" s="36">
        <f>IF(I16=0,"",J16/I16)</f>
        <v/>
      </c>
      <c r="L16" s="35">
        <f>COUNTIF('V11 - Cryptography'!$F$2:$F$32,"Compliant")</f>
        <v/>
      </c>
      <c r="M16" s="36">
        <f>IF(B16=0,"",L16/B16)</f>
        <v/>
      </c>
    </row>
    <row r="17" ht="18" customHeight="1" s="28">
      <c r="A17" s="37" t="inlineStr">
        <is>
          <t>V12 – Secure Communication</t>
        </is>
      </c>
      <c r="B17" s="38" t="n">
        <v>12</v>
      </c>
      <c r="C17" s="38" t="n">
        <v>3</v>
      </c>
      <c r="D17" s="38">
        <f>COUNTIFS('V12 - Secure Communication'!$F$2:$F$16,"Compliant",'V12 - Secure Communication'!$E$2:$E$16,1)</f>
        <v/>
      </c>
      <c r="E17" s="39">
        <f>IF(C17=0,"",D17/C17)</f>
        <v/>
      </c>
      <c r="F17" s="38" t="n">
        <v>6</v>
      </c>
      <c r="G17" s="38">
        <f>COUNTIFS('V12 - Secure Communication'!$F$2:$F$16,"Compliant",'V12 - Secure Communication'!$E$2:$E$16,2)</f>
        <v/>
      </c>
      <c r="H17" s="39">
        <f>IF(F17=0,"",G17/F17)</f>
        <v/>
      </c>
      <c r="I17" s="38" t="n">
        <v>3</v>
      </c>
      <c r="J17" s="38">
        <f>COUNTIFS('V12 - Secure Communication'!$F$2:$F$16,"Compliant",'V12 - Secure Communication'!$E$2:$E$16,3)</f>
        <v/>
      </c>
      <c r="K17" s="39">
        <f>IF(I17=0,"",J17/I17)</f>
        <v/>
      </c>
      <c r="L17" s="38">
        <f>COUNTIF('V12 - Secure Communication'!$F$2:$F$16,"Compliant")</f>
        <v/>
      </c>
      <c r="M17" s="39">
        <f>IF(B17=0,"",L17/B17)</f>
        <v/>
      </c>
    </row>
    <row r="18" ht="18" customHeight="1" s="28">
      <c r="A18" s="34" t="inlineStr">
        <is>
          <t>V13 – Configuration</t>
        </is>
      </c>
      <c r="B18" s="35" t="n">
        <v>21</v>
      </c>
      <c r="C18" s="35" t="n">
        <v>1</v>
      </c>
      <c r="D18" s="35">
        <f>COUNTIFS('V13 - Configuration'!$F$2:$F$26,"Compliant",'V13 - Configuration'!$E$2:$E$26,1)</f>
        <v/>
      </c>
      <c r="E18" s="36">
        <f>IF(C18=0,"",D18/C18)</f>
        <v/>
      </c>
      <c r="F18" s="35" t="n">
        <v>12</v>
      </c>
      <c r="G18" s="35">
        <f>COUNTIFS('V13 - Configuration'!$F$2:$F$26,"Compliant",'V13 - Configuration'!$E$2:$E$26,2)</f>
        <v/>
      </c>
      <c r="H18" s="36">
        <f>IF(F18=0,"",G18/F18)</f>
        <v/>
      </c>
      <c r="I18" s="35" t="n">
        <v>8</v>
      </c>
      <c r="J18" s="35">
        <f>COUNTIFS('V13 - Configuration'!$F$2:$F$26,"Compliant",'V13 - Configuration'!$E$2:$E$26,3)</f>
        <v/>
      </c>
      <c r="K18" s="36">
        <f>IF(I18=0,"",J18/I18)</f>
        <v/>
      </c>
      <c r="L18" s="35">
        <f>COUNTIF('V13 - Configuration'!$F$2:$F$26,"Compliant")</f>
        <v/>
      </c>
      <c r="M18" s="36">
        <f>IF(B18=0,"",L18/B18)</f>
        <v/>
      </c>
    </row>
    <row r="19" ht="18" customHeight="1" s="28">
      <c r="A19" s="37" t="inlineStr">
        <is>
          <t>V14 – Data Protection</t>
        </is>
      </c>
      <c r="B19" s="38" t="n">
        <v>13</v>
      </c>
      <c r="C19" s="38" t="n">
        <v>2</v>
      </c>
      <c r="D19" s="38">
        <f>COUNTIFS('V14 - Data Protection'!$F$2:$F$17,"Compliant",'V14 - Data Protection'!$E$2:$E$17,1)</f>
        <v/>
      </c>
      <c r="E19" s="39">
        <f>IF(C19=0,"",D19/C19)</f>
        <v/>
      </c>
      <c r="F19" s="38" t="n">
        <v>7</v>
      </c>
      <c r="G19" s="38">
        <f>COUNTIFS('V14 - Data Protection'!$F$2:$F$17,"Compliant",'V14 - Data Protection'!$E$2:$E$17,2)</f>
        <v/>
      </c>
      <c r="H19" s="39">
        <f>IF(F19=0,"",G19/F19)</f>
        <v/>
      </c>
      <c r="I19" s="38" t="n">
        <v>4</v>
      </c>
      <c r="J19" s="38">
        <f>COUNTIFS('V14 - Data Protection'!$F$2:$F$17,"Compliant",'V14 - Data Protection'!$E$2:$E$17,3)</f>
        <v/>
      </c>
      <c r="K19" s="39">
        <f>IF(I19=0,"",J19/I19)</f>
        <v/>
      </c>
      <c r="L19" s="38">
        <f>COUNTIF('V14 - Data Protection'!$F$2:$F$17,"Compliant")</f>
        <v/>
      </c>
      <c r="M19" s="39">
        <f>IF(B19=0,"",L19/B19)</f>
        <v/>
      </c>
    </row>
    <row r="20" ht="18" customHeight="1" s="28">
      <c r="A20" s="34" t="inlineStr">
        <is>
          <t>V15 – Secure Coding and Architecture</t>
        </is>
      </c>
      <c r="B20" s="35" t="n">
        <v>21</v>
      </c>
      <c r="C20" s="35" t="n">
        <v>3</v>
      </c>
      <c r="D20" s="35">
        <f>COUNTIFS('V15 - Secure Coding and Archite'!$F$2:$F$26,"Compliant",'V15 - Secure Coding and Archite'!$E$2:$E$26,1)</f>
        <v/>
      </c>
      <c r="E20" s="36">
        <f>IF(C20=0,"",D20/C20)</f>
        <v/>
      </c>
      <c r="F20" s="35" t="n">
        <v>10</v>
      </c>
      <c r="G20" s="35">
        <f>COUNTIFS('V15 - Secure Coding and Archite'!$F$2:$F$26,"Compliant",'V15 - Secure Coding and Archite'!$E$2:$E$26,2)</f>
        <v/>
      </c>
      <c r="H20" s="36">
        <f>IF(F20=0,"",G20/F20)</f>
        <v/>
      </c>
      <c r="I20" s="35" t="n">
        <v>8</v>
      </c>
      <c r="J20" s="35">
        <f>COUNTIFS('V15 - Secure Coding and Archite'!$F$2:$F$26,"Compliant",'V15 - Secure Coding and Archite'!$E$2:$E$26,3)</f>
        <v/>
      </c>
      <c r="K20" s="36">
        <f>IF(I20=0,"",J20/I20)</f>
        <v/>
      </c>
      <c r="L20" s="35">
        <f>COUNTIF('V15 - Secure Coding and Archite'!$F$2:$F$26,"Compliant")</f>
        <v/>
      </c>
      <c r="M20" s="36">
        <f>IF(B20=0,"",L20/B20)</f>
        <v/>
      </c>
    </row>
    <row r="21" ht="18" customHeight="1" s="28">
      <c r="A21" s="37" t="inlineStr">
        <is>
          <t>V16 – Security Logging and Error Handling</t>
        </is>
      </c>
      <c r="B21" s="38" t="n">
        <v>17</v>
      </c>
      <c r="C21" s="38" t="n">
        <v>0</v>
      </c>
      <c r="D21" s="38" t="inlineStr">
        <is>
          <t>N/A</t>
        </is>
      </c>
      <c r="E21" s="38" t="inlineStr">
        <is>
          <t>N/A</t>
        </is>
      </c>
      <c r="F21" s="38" t="n">
        <v>16</v>
      </c>
      <c r="G21" s="38">
        <f>COUNTIFS('V16 - Security Logging and Erro'!$F$2:$F$23,"Compliant",'V16 - Security Logging and Erro'!$E$2:$E$23,2)</f>
        <v/>
      </c>
      <c r="H21" s="39">
        <f>IF(F21=0,"",G21/F21)</f>
        <v/>
      </c>
      <c r="I21" s="38" t="n">
        <v>1</v>
      </c>
      <c r="J21" s="38">
        <f>COUNTIFS('V16 - Security Logging and Erro'!$F$2:$F$23,"Compliant",'V16 - Security Logging and Erro'!$E$2:$E$23,3)</f>
        <v/>
      </c>
      <c r="K21" s="39">
        <f>IF(I21=0,"",J21/I21)</f>
        <v/>
      </c>
      <c r="L21" s="38">
        <f>COUNTIF('V16 - Security Logging and Erro'!$F$2:$F$23,"Compliant")</f>
        <v/>
      </c>
      <c r="M21" s="39">
        <f>IF(B21=0,"",L21/B21)</f>
        <v/>
      </c>
    </row>
    <row r="22" ht="18" customHeight="1" s="28">
      <c r="A22" s="34" t="inlineStr">
        <is>
          <t>V17 – WebRTC</t>
        </is>
      </c>
      <c r="B22" s="35" t="n">
        <v>12</v>
      </c>
      <c r="C22" s="35" t="n">
        <v>0</v>
      </c>
      <c r="D22" s="35" t="inlineStr">
        <is>
          <t>N/A</t>
        </is>
      </c>
      <c r="E22" s="35" t="inlineStr">
        <is>
          <t>N/A</t>
        </is>
      </c>
      <c r="F22" s="35" t="n">
        <v>7</v>
      </c>
      <c r="G22" s="35">
        <f>COUNTIFS('V17 - WebRTC'!$F$2:$F$16,"Compliant",'V17 - WebRTC'!$E$2:$E$16,2)</f>
        <v/>
      </c>
      <c r="H22" s="36">
        <f>IF(F22=0,"",G22/F22)</f>
        <v/>
      </c>
      <c r="I22" s="35" t="n">
        <v>5</v>
      </c>
      <c r="J22" s="35">
        <f>COUNTIFS('V17 - WebRTC'!$F$2:$F$16,"Compliant",'V17 - WebRTC'!$E$2:$E$16,3)</f>
        <v/>
      </c>
      <c r="K22" s="36">
        <f>IF(I22=0,"",J22/I22)</f>
        <v/>
      </c>
      <c r="L22" s="35">
        <f>COUNTIF('V17 - WebRTC'!$F$2:$F$16,"Compliant")</f>
        <v/>
      </c>
      <c r="M22" s="36">
        <f>IF(B22=0,"",L22/B22)</f>
        <v/>
      </c>
    </row>
    <row r="23" ht="22" customHeight="1" s="28">
      <c r="A23" s="40" t="inlineStr">
        <is>
          <t>TOTAL</t>
        </is>
      </c>
      <c r="B23" s="41">
        <f>SUM(B6:B22)</f>
        <v/>
      </c>
      <c r="C23" s="41">
        <f>SUM(C6:C22)</f>
        <v/>
      </c>
      <c r="D23" s="41">
        <f>SUM(D6:D22)</f>
        <v/>
      </c>
      <c r="E23" s="42">
        <f>IFERROR(AVERAGE(E6:E22),"")</f>
        <v/>
      </c>
      <c r="F23" s="41">
        <f>SUM(F6:F22)</f>
        <v/>
      </c>
      <c r="G23" s="41">
        <f>SUM(G6:G22)</f>
        <v/>
      </c>
      <c r="H23" s="42">
        <f>IFERROR(AVERAGE(H6:H22),"")</f>
        <v/>
      </c>
      <c r="I23" s="41">
        <f>SUM(I6:I22)</f>
        <v/>
      </c>
      <c r="J23" s="41">
        <f>SUM(J6:J22)</f>
        <v/>
      </c>
      <c r="K23" s="42">
        <f>IFERROR(AVERAGE(K6:K22),"")</f>
        <v/>
      </c>
      <c r="L23" s="41">
        <f>SUM(L6:L22)</f>
        <v/>
      </c>
      <c r="M23" s="42">
        <f>IFERROR(AVERAGE(M6:M22),"")</f>
        <v/>
      </c>
    </row>
  </sheetData>
  <mergeCells count="3">
    <mergeCell ref="A1:P1"/>
    <mergeCell ref="A3:B3"/>
    <mergeCell ref="A2:P2"/>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0"/>
  </sheetPr>
  <dimension ref="A1:H3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J8" activeCellId="0" sqref="J8"/>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V1.1</t>
        </is>
      </c>
      <c r="B2" s="44" t="inlineStr">
        <is>
          <t>Encoding and Sanitization Architecture</t>
        </is>
      </c>
      <c r="C2" s="44" t="n"/>
      <c r="D2" s="44" t="n"/>
      <c r="E2" s="44" t="n"/>
      <c r="F2" s="44" t="n"/>
      <c r="G2" s="44" t="n"/>
      <c r="H2" s="44" t="n"/>
    </row>
    <row r="3" ht="30" customHeight="1" s="28">
      <c r="A3" s="45" t="inlineStr">
        <is>
          <t>V1.1</t>
        </is>
      </c>
      <c r="B3" s="45" t="inlineStr">
        <is>
          <t>Encoding and Sanitization Architecture</t>
        </is>
      </c>
      <c r="C3" s="46" t="inlineStr">
        <is>
          <t>V1.1.1</t>
        </is>
      </c>
      <c r="D3" s="47" t="inlineStr">
        <is>
          <t>Verify that input is decoded or unescaped into a canonical form only once, it is only decoded when encoded data in that form is expected, and that this is done before processing the input further, for example it is not performed after input validation or sanitization.</t>
        </is>
      </c>
      <c r="E3" s="48" t="n">
        <v>2</v>
      </c>
      <c r="F3" s="49" t="inlineStr">
        <is>
          <t>Pending</t>
        </is>
      </c>
      <c r="G3" s="47" t="inlineStr">
        <is>
          <t>Pydantic validates and decodes input once before processing.</t>
        </is>
      </c>
      <c r="H3" s="47" t="n"/>
    </row>
    <row r="4" ht="30" customHeight="1" s="28">
      <c r="A4" s="50" t="inlineStr">
        <is>
          <t>V1.1</t>
        </is>
      </c>
      <c r="B4" s="50" t="inlineStr">
        <is>
          <t>Encoding and Sanitization Architecture</t>
        </is>
      </c>
      <c r="C4" s="51" t="inlineStr">
        <is>
          <t>V1.1.2</t>
        </is>
      </c>
      <c r="D4" s="52" t="inlineStr">
        <is>
          <t>Verify that the application performs output encoding and escaping either as a final step before being used by the interpreter for which it is intended or by the interpreter itself.</t>
        </is>
      </c>
      <c r="E4" s="48" t="n">
        <v>2</v>
      </c>
      <c r="F4" s="49" t="inlineStr">
        <is>
          <t>Pending</t>
        </is>
      </c>
      <c r="G4" s="52" t="inlineStr">
        <is>
          <t>FastAPI/Pydantic performs output encoding as final step before response.</t>
        </is>
      </c>
      <c r="H4" s="52" t="n"/>
    </row>
    <row r="5" ht="18" customHeight="1" s="28">
      <c r="A5" s="44" t="inlineStr">
        <is>
          <t>V1.2</t>
        </is>
      </c>
      <c r="B5" s="44" t="inlineStr">
        <is>
          <t>Injection Prevention</t>
        </is>
      </c>
      <c r="C5" s="44" t="n"/>
      <c r="D5" s="44" t="n"/>
      <c r="E5" s="44" t="n"/>
      <c r="F5" s="44" t="n"/>
      <c r="G5" s="44" t="n"/>
      <c r="H5" s="44" t="n"/>
    </row>
    <row r="6" ht="30" customHeight="1" s="28">
      <c r="A6" s="45" t="inlineStr">
        <is>
          <t>V1.2</t>
        </is>
      </c>
      <c r="B6" s="45" t="inlineStr">
        <is>
          <t>Injection Prevention</t>
        </is>
      </c>
      <c r="C6" s="46" t="inlineStr">
        <is>
          <t>V1.2.1</t>
        </is>
      </c>
      <c r="D6" s="47" t="inlineStr">
        <is>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is>
      </c>
      <c r="E6" s="53" t="n">
        <v>1</v>
      </c>
      <c r="F6" s="49" t="inlineStr">
        <is>
          <t>Pending</t>
        </is>
      </c>
      <c r="G6" s="47" t="inlineStr">
        <is>
          <t>FastAPI returns JSON responses with correct Content-Type encoding.</t>
        </is>
      </c>
      <c r="H6" s="47" t="n"/>
    </row>
    <row r="7" ht="30" customHeight="1" s="28">
      <c r="A7" s="50" t="inlineStr">
        <is>
          <t>V1.2</t>
        </is>
      </c>
      <c r="B7" s="50" t="inlineStr">
        <is>
          <t>Injection Prevention</t>
        </is>
      </c>
      <c r="C7" s="51" t="inlineStr">
        <is>
          <t>V1.2.2</t>
        </is>
      </c>
      <c r="D7" s="52" t="inlineStr">
        <is>
          <t>Verify that when dynamically building URLs, untrusted data is encoded according to its context (e.g., URL encoding or base64url encoding for query or path parameters). Ensure that only safe URL protocols are permitted (e.g., disallow javascript: or data:).</t>
        </is>
      </c>
      <c r="E7" s="53" t="n">
        <v>1</v>
      </c>
      <c r="F7" s="49" t="inlineStr">
        <is>
          <t>Pending</t>
        </is>
      </c>
      <c r="G7" s="52" t="inlineStr">
        <is>
          <t>FastAPI handles URL parameter encoding; no dynamic URL construction from user input.</t>
        </is>
      </c>
      <c r="H7" s="52" t="n"/>
    </row>
    <row r="8" ht="30" customHeight="1" s="28">
      <c r="A8" s="45" t="inlineStr">
        <is>
          <t>V1.2</t>
        </is>
      </c>
      <c r="B8" s="45" t="inlineStr">
        <is>
          <t>Injection Prevention</t>
        </is>
      </c>
      <c r="C8" s="46" t="inlineStr">
        <is>
          <t>V1.2.3</t>
        </is>
      </c>
      <c r="D8" s="47" t="inlineStr">
        <is>
          <t>Verify that output encoding or escaping is used when dynamically building JavaScript content (including JSON), to avoid changing the message or document structure (to avoid JavaScript and JSON injection).</t>
        </is>
      </c>
      <c r="E8" s="53" t="n">
        <v>1</v>
      </c>
      <c r="F8" s="49" t="inlineStr">
        <is>
          <t>N/A</t>
        </is>
      </c>
      <c r="G8" s="47" t="inlineStr">
        <is>
          <t>SecureMarket is a REST API backend; no dynamic JavaScript content generated.</t>
        </is>
      </c>
      <c r="H8" s="47" t="n"/>
    </row>
    <row r="9" ht="30" customHeight="1" s="28">
      <c r="A9" s="50" t="inlineStr">
        <is>
          <t>V1.2</t>
        </is>
      </c>
      <c r="B9" s="50" t="inlineStr">
        <is>
          <t>Injection Prevention</t>
        </is>
      </c>
      <c r="C9" s="51" t="inlineStr">
        <is>
          <t>V1.2.4</t>
        </is>
      </c>
      <c r="D9" s="52" t="inlineStr">
        <is>
          <t>Verify that data selection or database queries (e.g., SQL, HQL, NoSQL, Cypher) use parameterized queries, ORMs, entity frameworks, or are otherwise protected from SQL Injection and other database injection attacks. This is also relevant when writing stored procedures.</t>
        </is>
      </c>
      <c r="E9" s="53" t="n">
        <v>1</v>
      </c>
      <c r="F9" s="49" t="inlineStr">
        <is>
          <t>Pending</t>
        </is>
      </c>
      <c r="G9" s="52" t="inlineStr">
        <is>
          <t>SR-INPUT-07: SQLAlchemy ORM with parameterized queries only; raw SQL prohibited.</t>
        </is>
      </c>
      <c r="H9" s="52" t="n"/>
    </row>
    <row r="10" ht="30" customHeight="1" s="28">
      <c r="A10" s="45" t="inlineStr">
        <is>
          <t>V1.2</t>
        </is>
      </c>
      <c r="B10" s="45" t="inlineStr">
        <is>
          <t>Injection Prevention</t>
        </is>
      </c>
      <c r="C10" s="46" t="inlineStr">
        <is>
          <t>V1.2.5</t>
        </is>
      </c>
      <c r="D10" s="47" t="inlineStr">
        <is>
          <t>Verify that the application protects against OS command injection and that operating system calls use parameterized OS queries or use contextual command line output encoding.</t>
        </is>
      </c>
      <c r="E10" s="53" t="n">
        <v>1</v>
      </c>
      <c r="F10" s="49" t="inlineStr">
        <is>
          <t>Pending</t>
        </is>
      </c>
      <c r="G10" s="47" t="inlineStr">
        <is>
          <t>No OS command execution from user input; filesystem operations use UUID-based paths.</t>
        </is>
      </c>
      <c r="H10" s="47" t="n"/>
    </row>
    <row r="11" ht="30" customHeight="1" s="28">
      <c r="A11" s="50" t="inlineStr">
        <is>
          <t>V1.2</t>
        </is>
      </c>
      <c r="B11" s="50" t="inlineStr">
        <is>
          <t>Injection Prevention</t>
        </is>
      </c>
      <c r="C11" s="51" t="inlineStr">
        <is>
          <t>V1.2.6</t>
        </is>
      </c>
      <c r="D11" s="52" t="inlineStr">
        <is>
          <t>Verify that the application protects against LDAP injection vulnerabilities, or that specific security controls to prevent LDAP injection have been implemented.</t>
        </is>
      </c>
      <c r="E11" s="48" t="n">
        <v>2</v>
      </c>
      <c r="F11" s="49" t="inlineStr">
        <is>
          <t>N/A</t>
        </is>
      </c>
      <c r="G11" s="52" t="inlineStr">
        <is>
          <t>No LDAP integration in SecureMarket.</t>
        </is>
      </c>
      <c r="H11" s="52" t="n"/>
    </row>
    <row r="12" ht="30" customHeight="1" s="28">
      <c r="A12" s="45" t="inlineStr">
        <is>
          <t>V1.2</t>
        </is>
      </c>
      <c r="B12" s="45" t="inlineStr">
        <is>
          <t>Injection Prevention</t>
        </is>
      </c>
      <c r="C12" s="46" t="inlineStr">
        <is>
          <t>V1.2.7</t>
        </is>
      </c>
      <c r="D12" s="47" t="inlineStr">
        <is>
          <t>Verify that the application is protected against XPath injection attacks by using query parameterization or precompiled queries.</t>
        </is>
      </c>
      <c r="E12" s="48" t="n">
        <v>2</v>
      </c>
      <c r="F12" s="49" t="inlineStr">
        <is>
          <t>N/A</t>
        </is>
      </c>
      <c r="G12" s="47" t="inlineStr">
        <is>
          <t>No XPath or XML processing in SecureMarket.</t>
        </is>
      </c>
      <c r="H12" s="47" t="n"/>
    </row>
    <row r="13" ht="30" customHeight="1" s="28">
      <c r="A13" s="50" t="inlineStr">
        <is>
          <t>V1.2</t>
        </is>
      </c>
      <c r="B13" s="50" t="inlineStr">
        <is>
          <t>Injection Prevention</t>
        </is>
      </c>
      <c r="C13" s="51" t="inlineStr">
        <is>
          <t>V1.2.8</t>
        </is>
      </c>
      <c r="D13" s="52" t="inlineStr">
        <is>
          <t>Verify that LaTeX processors are configured securely (such as not using the "--shell-escape" flag) and an allowlist of commands is used to prevent LaTeX injection attacks.</t>
        </is>
      </c>
      <c r="E13" s="48" t="n">
        <v>2</v>
      </c>
      <c r="F13" s="49" t="inlineStr">
        <is>
          <t>N/A</t>
        </is>
      </c>
      <c r="G13" s="52" t="inlineStr">
        <is>
          <t>No LaTeX processing in SecureMarket.</t>
        </is>
      </c>
      <c r="H13" s="52" t="n"/>
    </row>
    <row r="14" ht="30" customHeight="1" s="28">
      <c r="A14" s="45" t="inlineStr">
        <is>
          <t>V1.2</t>
        </is>
      </c>
      <c r="B14" s="45" t="inlineStr">
        <is>
          <t>Injection Prevention</t>
        </is>
      </c>
      <c r="C14" s="46" t="inlineStr">
        <is>
          <t>V1.2.9</t>
        </is>
      </c>
      <c r="D14" s="47" t="inlineStr">
        <is>
          <t>Verify that the application escapes special characters in regular expressions (typically using a backslash) to prevent them from being misinterpreted as metacharacters.</t>
        </is>
      </c>
      <c r="E14" s="48" t="n">
        <v>2</v>
      </c>
      <c r="F14" s="49" t="inlineStr">
        <is>
          <t>Pending</t>
        </is>
      </c>
      <c r="G14" s="47" t="inlineStr">
        <is>
          <t>Pydantic regex validators escape special characters correctly.</t>
        </is>
      </c>
      <c r="H14" s="47" t="n"/>
    </row>
    <row r="15" ht="30" customHeight="1" s="28">
      <c r="A15" s="50" t="inlineStr">
        <is>
          <t>V1.2</t>
        </is>
      </c>
      <c r="B15" s="50" t="inlineStr">
        <is>
          <t>Injection Prevention</t>
        </is>
      </c>
      <c r="C15" s="51" t="inlineStr">
        <is>
          <t>V1.2.10</t>
        </is>
      </c>
      <c r="D15" s="52" t="inlineStr">
        <is>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is>
      </c>
      <c r="E15" s="54" t="n">
        <v>3</v>
      </c>
      <c r="F15" s="49" t="inlineStr">
        <is>
          <t>Pending</t>
        </is>
      </c>
      <c r="G15" s="52" t="inlineStr">
        <is>
          <t>SR-INPUT-05: Export generation sanitizes metacharacters; template injection prevented.</t>
        </is>
      </c>
      <c r="H15" s="52" t="n"/>
    </row>
    <row r="16" ht="18" customHeight="1" s="28">
      <c r="A16" s="44" t="inlineStr">
        <is>
          <t>V1.3</t>
        </is>
      </c>
      <c r="B16" s="44" t="inlineStr">
        <is>
          <t>Sanitization</t>
        </is>
      </c>
      <c r="C16" s="44" t="n"/>
      <c r="D16" s="44" t="n"/>
      <c r="E16" s="44" t="n"/>
      <c r="F16" s="44" t="n"/>
      <c r="G16" s="44" t="n"/>
      <c r="H16" s="44" t="n"/>
    </row>
    <row r="17" ht="30" customHeight="1" s="28">
      <c r="A17" s="45" t="inlineStr">
        <is>
          <t>V1.3</t>
        </is>
      </c>
      <c r="B17" s="45" t="inlineStr">
        <is>
          <t>Sanitization</t>
        </is>
      </c>
      <c r="C17" s="46" t="inlineStr">
        <is>
          <t>V1.3.1</t>
        </is>
      </c>
      <c r="D17" s="47" t="inlineStr">
        <is>
          <t>Verify that all untrusted HTML input from WYSIWYG editors or similar is sanitized using a well-known and secure HTML sanitization library or framework feature.</t>
        </is>
      </c>
      <c r="E17" s="53" t="n">
        <v>1</v>
      </c>
      <c r="F17" s="49" t="inlineStr">
        <is>
          <t>Pending</t>
        </is>
      </c>
      <c r="G17" s="47" t="inlineStr">
        <is>
          <t>SR-INPUT-06: bleach library strips HTML tags from all user-supplied text fields.</t>
        </is>
      </c>
      <c r="H17" s="47" t="n"/>
    </row>
    <row r="18" ht="30" customHeight="1" s="28">
      <c r="A18" s="50" t="inlineStr">
        <is>
          <t>V1.3</t>
        </is>
      </c>
      <c r="B18" s="50" t="inlineStr">
        <is>
          <t>Sanitization</t>
        </is>
      </c>
      <c r="C18" s="51" t="inlineStr">
        <is>
          <t>V1.3.2</t>
        </is>
      </c>
      <c r="D18" s="52" t="inlineStr">
        <is>
          <t>Verify that the application avoids the use of eval() or other dynamic code execution features such as Spring Expression Language (SpEL). Where there is no alternative, any user input being included must be sanitized before being executed.</t>
        </is>
      </c>
      <c r="E18" s="53" t="n">
        <v>1</v>
      </c>
      <c r="F18" s="49" t="inlineStr">
        <is>
          <t>Pending</t>
        </is>
      </c>
      <c r="G18" s="52" t="inlineStr">
        <is>
          <t>SAST-04: Bandit/Semgrep scan for eval(), exec(), and dynamic code execution. Prohibited by policy.</t>
        </is>
      </c>
      <c r="H18" s="52" t="n"/>
    </row>
    <row r="19" ht="30" customHeight="1" s="28">
      <c r="A19" s="45" t="inlineStr">
        <is>
          <t>V1.3</t>
        </is>
      </c>
      <c r="B19" s="45" t="inlineStr">
        <is>
          <t>Sanitization</t>
        </is>
      </c>
      <c r="C19" s="46" t="inlineStr">
        <is>
          <t>V1.3.3</t>
        </is>
      </c>
      <c r="D19" s="47" t="inlineStr">
        <is>
          <t>Verify that data being passed to a potentially dangerous context is sanitized beforehand to enforce safety measures, such as only allowing characters which are safe for this context and trimming input which is too long.</t>
        </is>
      </c>
      <c r="E19" s="48" t="n">
        <v>2</v>
      </c>
      <c r="F19" s="49" t="inlineStr">
        <is>
          <t>Pending</t>
        </is>
      </c>
      <c r="G19" s="47" t="inlineStr">
        <is>
          <t>SR-INPUT-05, SR-INPUT-10: User data sanitized before use in Jinja2 templates and address fields.</t>
        </is>
      </c>
      <c r="H19" s="47" t="n"/>
    </row>
    <row r="20" ht="30" customHeight="1" s="28">
      <c r="A20" s="50" t="inlineStr">
        <is>
          <t>V1.3</t>
        </is>
      </c>
      <c r="B20" s="50" t="inlineStr">
        <is>
          <t>Sanitization</t>
        </is>
      </c>
      <c r="C20" s="51" t="inlineStr">
        <is>
          <t>V1.3.4</t>
        </is>
      </c>
      <c r="D20" s="52" t="inlineStr">
        <is>
          <t>Verify that user-supplied Scalable Vector Graphics (SVG) scriptable content is validated or sanitized to contain only tags and attributes (such as draw graphics) that are safe for the application, e.g., do not contain scripts and foreignObject.</t>
        </is>
      </c>
      <c r="E20" s="48" t="n">
        <v>2</v>
      </c>
      <c r="F20" s="49" t="inlineStr">
        <is>
          <t>N/A</t>
        </is>
      </c>
      <c r="G20" s="52" t="inlineStr">
        <is>
          <t>No SVG uploads accepted; only image/png, image/jpeg, image/webp allowed (SR-INPUT-02).</t>
        </is>
      </c>
      <c r="H20" s="52" t="n"/>
    </row>
    <row r="21" ht="30" customHeight="1" s="28">
      <c r="A21" s="45" t="inlineStr">
        <is>
          <t>V1.3</t>
        </is>
      </c>
      <c r="B21" s="45" t="inlineStr">
        <is>
          <t>Sanitization</t>
        </is>
      </c>
      <c r="C21" s="46" t="inlineStr">
        <is>
          <t>V1.3.5</t>
        </is>
      </c>
      <c r="D21" s="47" t="inlineStr">
        <is>
          <t>Verify that the application sanitizes or disables user-supplied scriptable or expression template language content, such as Markdown, CSS or XSL stylesheets, BBCode, or similar.</t>
        </is>
      </c>
      <c r="E21" s="48" t="n">
        <v>2</v>
      </c>
      <c r="F21" s="49" t="inlineStr">
        <is>
          <t>Pending</t>
        </is>
      </c>
      <c r="G21" s="47" t="inlineStr">
        <is>
          <t>SR-INPUT-05: Jinja2 SandboxedEnvironment with auto-escaping used for invoice/export generation.</t>
        </is>
      </c>
      <c r="H21" s="47" t="n"/>
    </row>
    <row r="22" ht="30" customHeight="1" s="28">
      <c r="A22" s="50" t="inlineStr">
        <is>
          <t>V1.3</t>
        </is>
      </c>
      <c r="B22" s="50" t="inlineStr">
        <is>
          <t>Sanitization</t>
        </is>
      </c>
      <c r="C22" s="51" t="inlineStr">
        <is>
          <t>V1.3.6</t>
        </is>
      </c>
      <c r="D22" s="52" t="inlineStr">
        <is>
          <t>Verify that the application protects against Server-side Request Forgery (SSRF) attacks, by validating untrusted data against an allowlist of protocols, domains, paths and ports and sanitizing potentially dangerous characters before using the data to call another service.</t>
        </is>
      </c>
      <c r="E22" s="48" t="n">
        <v>2</v>
      </c>
      <c r="F22" s="49" t="inlineStr">
        <is>
          <t>Pending</t>
        </is>
      </c>
      <c r="G22" s="52" t="inlineStr">
        <is>
          <t>No external service calls initiated from user-supplied URLs. No SSRF surface.</t>
        </is>
      </c>
      <c r="H22" s="52" t="n"/>
    </row>
    <row r="23" ht="30" customHeight="1" s="28">
      <c r="A23" s="45" t="inlineStr">
        <is>
          <t>V1.3</t>
        </is>
      </c>
      <c r="B23" s="45" t="inlineStr">
        <is>
          <t>Sanitization</t>
        </is>
      </c>
      <c r="C23" s="46" t="inlineStr">
        <is>
          <t>V1.3.7</t>
        </is>
      </c>
      <c r="D23" s="47" t="inlineStr">
        <is>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is>
      </c>
      <c r="E23" s="48" t="n">
        <v>2</v>
      </c>
      <c r="F23" s="49" t="inlineStr">
        <is>
          <t>Pending</t>
        </is>
      </c>
      <c r="G23" s="47" t="inlineStr">
        <is>
          <t>SR-INPUT-05: Jinja2 SandboxedEnvironment prevents template injection; user input escaped.</t>
        </is>
      </c>
      <c r="H23" s="47" t="n"/>
    </row>
    <row r="24" ht="30" customHeight="1" s="28">
      <c r="A24" s="50" t="inlineStr">
        <is>
          <t>V1.3</t>
        </is>
      </c>
      <c r="B24" s="50" t="inlineStr">
        <is>
          <t>Sanitization</t>
        </is>
      </c>
      <c r="C24" s="51" t="inlineStr">
        <is>
          <t>V1.3.8</t>
        </is>
      </c>
      <c r="D24" s="52" t="inlineStr">
        <is>
          <t>Verify that the application appropriately sanitizes untrusted input before use in Java Naming and Directory Interface (JNDI) queries and that JNDI is configured securely to prevent JNDI injection attacks.</t>
        </is>
      </c>
      <c r="E24" s="48" t="n">
        <v>2</v>
      </c>
      <c r="F24" s="49" t="inlineStr">
        <is>
          <t>N/A</t>
        </is>
      </c>
      <c r="G24" s="52" t="inlineStr">
        <is>
          <t>Python application; no JNDI usage.</t>
        </is>
      </c>
      <c r="H24" s="52" t="n"/>
    </row>
    <row r="25" ht="30" customHeight="1" s="28">
      <c r="A25" s="45" t="inlineStr">
        <is>
          <t>V1.3</t>
        </is>
      </c>
      <c r="B25" s="45" t="inlineStr">
        <is>
          <t>Sanitization</t>
        </is>
      </c>
      <c r="C25" s="46" t="inlineStr">
        <is>
          <t>V1.3.9</t>
        </is>
      </c>
      <c r="D25" s="47" t="inlineStr">
        <is>
          <t>Verify that the application sanitizes content before it is sent to memcache to prevent injection attacks.</t>
        </is>
      </c>
      <c r="E25" s="48" t="n">
        <v>2</v>
      </c>
      <c r="F25" s="49" t="inlineStr">
        <is>
          <t>N/A</t>
        </is>
      </c>
      <c r="G25" s="47" t="inlineStr">
        <is>
          <t>No memcache usage in SecureMarket.</t>
        </is>
      </c>
      <c r="H25" s="47" t="n"/>
    </row>
    <row r="26" ht="30" customHeight="1" s="28">
      <c r="A26" s="50" t="inlineStr">
        <is>
          <t>V1.3</t>
        </is>
      </c>
      <c r="B26" s="50" t="inlineStr">
        <is>
          <t>Sanitization</t>
        </is>
      </c>
      <c r="C26" s="51" t="inlineStr">
        <is>
          <t>V1.3.10</t>
        </is>
      </c>
      <c r="D26" s="52" t="inlineStr">
        <is>
          <t>Verify that format strings which might resolve in an unexpected or malicious way when used are sanitized before being processed.</t>
        </is>
      </c>
      <c r="E26" s="48" t="n">
        <v>2</v>
      </c>
      <c r="F26" s="49" t="inlineStr">
        <is>
          <t>Pending</t>
        </is>
      </c>
      <c r="G26" s="52" t="inlineStr">
        <is>
          <t>SR-INPUT-05: Format strings in Jinja2 templates sanitized; bleach applied to user text fields.</t>
        </is>
      </c>
      <c r="H26" s="52" t="n"/>
    </row>
    <row r="27" ht="30" customHeight="1" s="28">
      <c r="A27" s="45" t="inlineStr">
        <is>
          <t>V1.3</t>
        </is>
      </c>
      <c r="B27" s="45" t="inlineStr">
        <is>
          <t>Sanitization</t>
        </is>
      </c>
      <c r="C27" s="46" t="inlineStr">
        <is>
          <t>V1.3.11</t>
        </is>
      </c>
      <c r="D27" s="47" t="inlineStr">
        <is>
          <t>Verify that the application sanitizes user input before passing to mail systems to protect against SMTP or IMAP injection.</t>
        </is>
      </c>
      <c r="E27" s="48" t="n">
        <v>2</v>
      </c>
      <c r="F27" s="49" t="inlineStr">
        <is>
          <t>N/A</t>
        </is>
      </c>
      <c r="G27" s="47" t="inlineStr">
        <is>
          <t>No mail system integration in SecureMarket.</t>
        </is>
      </c>
      <c r="H27" s="47" t="n"/>
    </row>
    <row r="28" ht="30" customHeight="1" s="28">
      <c r="A28" s="50" t="inlineStr">
        <is>
          <t>V1.3</t>
        </is>
      </c>
      <c r="B28" s="50" t="inlineStr">
        <is>
          <t>Sanitization</t>
        </is>
      </c>
      <c r="C28" s="51" t="inlineStr">
        <is>
          <t>V1.3.12</t>
        </is>
      </c>
      <c r="D28" s="52" t="inlineStr">
        <is>
          <t>Verify that regular expressions are free from elements causing exponential backtracking, and ensure untrusted input is sanitized to mitigate ReDoS or Runaway Regex attacks.</t>
        </is>
      </c>
      <c r="E28" s="54" t="n">
        <v>3</v>
      </c>
      <c r="F28" s="49" t="inlineStr">
        <is>
          <t>Pending</t>
        </is>
      </c>
      <c r="G28" s="52" t="inlineStr">
        <is>
          <t>Pydantic uses safe regex patterns; SAST scanning checks for ReDoS-vulnerable patterns.</t>
        </is>
      </c>
      <c r="H28" s="52" t="n"/>
    </row>
    <row r="29" ht="18" customHeight="1" s="28">
      <c r="A29" s="44" t="inlineStr">
        <is>
          <t>V1.4</t>
        </is>
      </c>
      <c r="B29" s="44" t="inlineStr">
        <is>
          <t>Memory, String, and Unmanaged Code</t>
        </is>
      </c>
      <c r="C29" s="44" t="n"/>
      <c r="D29" s="44" t="n"/>
      <c r="E29" s="44" t="n"/>
      <c r="F29" s="44" t="n"/>
      <c r="G29" s="44" t="n"/>
      <c r="H29" s="44" t="n"/>
    </row>
    <row r="30" ht="30" customHeight="1" s="28">
      <c r="A30" s="45" t="inlineStr">
        <is>
          <t>V1.4</t>
        </is>
      </c>
      <c r="B30" s="45" t="inlineStr">
        <is>
          <t>Memory, String, and Unmanaged Code</t>
        </is>
      </c>
      <c r="C30" s="46" t="inlineStr">
        <is>
          <t>V1.4.1</t>
        </is>
      </c>
      <c r="D30" s="47" t="inlineStr">
        <is>
          <t>Verify that the application uses memory-safe string, safer memory copy and pointer arithmetic to detect or prevent stack, buffer, or heap overflows.</t>
        </is>
      </c>
      <c r="E30" s="48" t="n">
        <v>2</v>
      </c>
      <c r="F30" s="49" t="inlineStr">
        <is>
          <t>N/A</t>
        </is>
      </c>
      <c r="G30" s="47" t="inlineStr">
        <is>
          <t>Python is a memory-managed language; no manual memory management required.</t>
        </is>
      </c>
      <c r="H30" s="47" t="n"/>
    </row>
    <row r="31" ht="30" customHeight="1" s="28">
      <c r="A31" s="50" t="inlineStr">
        <is>
          <t>V1.4</t>
        </is>
      </c>
      <c r="B31" s="50" t="inlineStr">
        <is>
          <t>Memory, String, and Unmanaged Code</t>
        </is>
      </c>
      <c r="C31" s="51" t="inlineStr">
        <is>
          <t>V1.4.2</t>
        </is>
      </c>
      <c r="D31" s="52" t="inlineStr">
        <is>
          <t>Verify that sign, range, and input validation techniques are used to prevent integer overflows.</t>
        </is>
      </c>
      <c r="E31" s="48" t="n">
        <v>2</v>
      </c>
      <c r="F31" s="49" t="inlineStr">
        <is>
          <t>Pending</t>
        </is>
      </c>
      <c r="G31" s="52" t="inlineStr">
        <is>
          <t>Pydantic enforces type constraints including numeric ranges (SR-INPUT-09).</t>
        </is>
      </c>
      <c r="H31" s="52" t="n"/>
    </row>
    <row r="32" ht="30" customHeight="1" s="28">
      <c r="A32" s="45" t="inlineStr">
        <is>
          <t>V1.4</t>
        </is>
      </c>
      <c r="B32" s="45" t="inlineStr">
        <is>
          <t>Memory, String, and Unmanaged Code</t>
        </is>
      </c>
      <c r="C32" s="46" t="inlineStr">
        <is>
          <t>V1.4.3</t>
        </is>
      </c>
      <c r="D32" s="47" t="inlineStr">
        <is>
          <t>Verify that dynamically allocated memory and resources are released, and that references or pointers to freed memory are removed or set to null to prevent dangling pointers and use-after-free vulnerabilities.</t>
        </is>
      </c>
      <c r="E32" s="48" t="n">
        <v>2</v>
      </c>
      <c r="F32" s="49" t="inlineStr">
        <is>
          <t>N/A</t>
        </is>
      </c>
      <c r="G32" s="47" t="inlineStr">
        <is>
          <t>Python garbage collection handles memory management automatically.</t>
        </is>
      </c>
      <c r="H32" s="47" t="n"/>
    </row>
    <row r="33" ht="18" customHeight="1" s="28">
      <c r="A33" s="44" t="inlineStr">
        <is>
          <t>V1.5</t>
        </is>
      </c>
      <c r="B33" s="44" t="inlineStr">
        <is>
          <t>Safe Deserialization</t>
        </is>
      </c>
      <c r="C33" s="44" t="n"/>
      <c r="D33" s="44" t="n"/>
      <c r="E33" s="44" t="n"/>
      <c r="F33" s="44" t="n"/>
      <c r="G33" s="44" t="n"/>
      <c r="H33" s="44" t="n"/>
    </row>
    <row r="34" ht="30" customHeight="1" s="28">
      <c r="A34" s="45" t="inlineStr">
        <is>
          <t>V1.5</t>
        </is>
      </c>
      <c r="B34" s="45" t="inlineStr">
        <is>
          <t>Safe Deserialization</t>
        </is>
      </c>
      <c r="C34" s="46" t="inlineStr">
        <is>
          <t>V1.5.1</t>
        </is>
      </c>
      <c r="D34" s="47" t="inlineStr">
        <is>
          <t>Verify that the application configures XML parsers to use a restrictive configuration and that unsafe features such as resolving external entities are disabled to prevent XML eXternal Entity (XXE) attacks.</t>
        </is>
      </c>
      <c r="E34" s="53" t="n">
        <v>1</v>
      </c>
      <c r="F34" s="49" t="inlineStr">
        <is>
          <t>N/A</t>
        </is>
      </c>
      <c r="G34" s="47" t="inlineStr">
        <is>
          <t>No XML processing in SecureMarket; JSON-only API.</t>
        </is>
      </c>
      <c r="H34" s="47" t="n"/>
    </row>
    <row r="35" ht="30" customHeight="1" s="28">
      <c r="A35" s="50" t="inlineStr">
        <is>
          <t>V1.5</t>
        </is>
      </c>
      <c r="B35" s="50" t="inlineStr">
        <is>
          <t>Safe Deserialization</t>
        </is>
      </c>
      <c r="C35" s="51" t="inlineStr">
        <is>
          <t>V1.5.2</t>
        </is>
      </c>
      <c r="D35" s="52" t="inlineStr">
        <is>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is>
      </c>
      <c r="E35" s="48" t="n">
        <v>2</v>
      </c>
      <c r="F35" s="49" t="inlineStr">
        <is>
          <t>Pending</t>
        </is>
      </c>
      <c r="G35" s="52" t="inlineStr">
        <is>
          <t>Pydantic strict type validation; no pickle or unsafe deserialization used.</t>
        </is>
      </c>
      <c r="H35" s="52" t="n"/>
    </row>
    <row r="36" ht="30" customHeight="1" s="28">
      <c r="A36" s="45" t="inlineStr">
        <is>
          <t>V1.5</t>
        </is>
      </c>
      <c r="B36" s="45" t="inlineStr">
        <is>
          <t>Safe Deserialization</t>
        </is>
      </c>
      <c r="C36" s="46" t="inlineStr">
        <is>
          <t>V1.5.3</t>
        </is>
      </c>
      <c r="D36" s="47" t="inlineStr">
        <is>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is>
      </c>
      <c r="E36" s="54" t="n">
        <v>3</v>
      </c>
      <c r="F36" s="49" t="inlineStr">
        <is>
          <t>Pending</t>
        </is>
      </c>
      <c r="G36" s="47" t="inlineStr">
        <is>
          <t>FastAPI uses consistent JSON parsing via Pydantic; single parser for all JSON input.</t>
        </is>
      </c>
      <c r="H36" s="47" t="n"/>
    </row>
  </sheetData>
  <conditionalFormatting sqref="F2:F3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3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18"/>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F3" activeCellId="0" sqref="F3"/>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V2.1</t>
        </is>
      </c>
      <c r="B2" s="44" t="inlineStr">
        <is>
          <t>Validation and Business Logic Documentation</t>
        </is>
      </c>
      <c r="C2" s="44" t="n"/>
      <c r="D2" s="44" t="n"/>
      <c r="E2" s="44" t="n"/>
      <c r="F2" s="44" t="n"/>
      <c r="G2" s="44" t="n"/>
      <c r="H2" s="44" t="n"/>
    </row>
    <row r="3" ht="30" customHeight="1" s="28">
      <c r="A3" s="45" t="inlineStr">
        <is>
          <t>V2.1</t>
        </is>
      </c>
      <c r="B3" s="45" t="inlineStr">
        <is>
          <t>Validation and Business Logic Documentation</t>
        </is>
      </c>
      <c r="C3" s="46" t="inlineStr">
        <is>
          <t>V2.1.1</t>
        </is>
      </c>
      <c r="D3" s="47" t="inlineStr">
        <is>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is>
      </c>
      <c r="E3" s="53" t="n">
        <v>1</v>
      </c>
      <c r="F3" s="49" t="inlineStr">
        <is>
          <t>Pending</t>
        </is>
      </c>
      <c r="G3" s="47" t="inlineStr">
        <is>
          <t>SR-INPUT-01: Pydantic schemas document and enforce input validation rules for all endpoints.</t>
        </is>
      </c>
      <c r="H3" s="47" t="n"/>
    </row>
    <row r="4" ht="30" customHeight="1" s="28">
      <c r="A4" s="50" t="inlineStr">
        <is>
          <t>V2.1</t>
        </is>
      </c>
      <c r="B4" s="50" t="inlineStr">
        <is>
          <t>Validation and Business Logic Documentation</t>
        </is>
      </c>
      <c r="C4" s="51" t="inlineStr">
        <is>
          <t>V2.1.2</t>
        </is>
      </c>
      <c r="D4" s="52" t="inlineStr">
        <is>
          <t>Verify that the application's documentation defines how to validate the logical and contextual consistency of combined data items, such as checking that suburb and ZIP code match.</t>
        </is>
      </c>
      <c r="E4" s="48" t="n">
        <v>2</v>
      </c>
      <c r="F4" s="49" t="inlineStr">
        <is>
          <t>Pending</t>
        </is>
      </c>
      <c r="G4" s="52" t="inlineStr">
        <is>
          <t>SR-INPUT-09, SR-INPUT-10: Combined field validation documented (price, stock, address formats).</t>
        </is>
      </c>
      <c r="H4" s="52" t="n"/>
    </row>
    <row r="5" ht="30" customHeight="1" s="28">
      <c r="A5" s="45" t="inlineStr">
        <is>
          <t>V2.1</t>
        </is>
      </c>
      <c r="B5" s="45" t="inlineStr">
        <is>
          <t>Validation and Business Logic Documentation</t>
        </is>
      </c>
      <c r="C5" s="46" t="inlineStr">
        <is>
          <t>V2.1.3</t>
        </is>
      </c>
      <c r="D5" s="47" t="inlineStr">
        <is>
          <t>Verify that expectations for business logic limits and validations are documented, including both per-user and globally across the application.</t>
        </is>
      </c>
      <c r="E5" s="48" t="n">
        <v>2</v>
      </c>
      <c r="F5" s="49" t="inlineStr">
        <is>
          <t>Pending</t>
        </is>
      </c>
      <c r="G5" s="47" t="inlineStr">
        <is>
          <t>SR-BIZ-01 to SR-BIZ-07: Business logic limits documented (max images, review eligibility, order state machine).</t>
        </is>
      </c>
      <c r="H5" s="47" t="n"/>
    </row>
    <row r="6" ht="18" customHeight="1" s="28">
      <c r="A6" s="44" t="inlineStr">
        <is>
          <t>V2.2</t>
        </is>
      </c>
      <c r="B6" s="44" t="inlineStr">
        <is>
          <t>Input Validation</t>
        </is>
      </c>
      <c r="C6" s="44" t="n"/>
      <c r="D6" s="44" t="n"/>
      <c r="E6" s="44" t="n"/>
      <c r="F6" s="44" t="n"/>
      <c r="G6" s="44" t="n"/>
      <c r="H6" s="44" t="n"/>
    </row>
    <row r="7" ht="30" customHeight="1" s="28">
      <c r="A7" s="45" t="inlineStr">
        <is>
          <t>V2.2</t>
        </is>
      </c>
      <c r="B7" s="45" t="inlineStr">
        <is>
          <t>Input Validation</t>
        </is>
      </c>
      <c r="C7" s="46" t="inlineStr">
        <is>
          <t>V2.2.1</t>
        </is>
      </c>
      <c r="D7" s="47" t="inlineStr">
        <is>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is>
      </c>
      <c r="E7" s="53" t="n">
        <v>1</v>
      </c>
      <c r="F7" s="49" t="inlineStr">
        <is>
          <t>Pending</t>
        </is>
      </c>
      <c r="G7" s="47" t="inlineStr">
        <is>
          <t>SR-INPUT-01: All inputs validated server-side via Pydantic with strict type checking; returns 422 on failure.</t>
        </is>
      </c>
      <c r="H7" s="47" t="n"/>
    </row>
    <row r="8" ht="30" customHeight="1" s="28">
      <c r="A8" s="50" t="inlineStr">
        <is>
          <t>V2.2</t>
        </is>
      </c>
      <c r="B8" s="50" t="inlineStr">
        <is>
          <t>Input Validation</t>
        </is>
      </c>
      <c r="C8" s="51" t="inlineStr">
        <is>
          <t>V2.2.2</t>
        </is>
      </c>
      <c r="D8" s="52" t="inlineStr">
        <is>
          <t>Verify that the application is designed to enforce input validation at a trusted service layer. While client-side validation improves usability and should be encouraged, it must not be relied upon as a security control.</t>
        </is>
      </c>
      <c r="E8" s="53" t="n">
        <v>1</v>
      </c>
      <c r="F8" s="49" t="inlineStr">
        <is>
          <t>Pending</t>
        </is>
      </c>
      <c r="G8" s="52" t="inlineStr">
        <is>
          <t>All validation enforced at the API/Application layer; no client-side security controls relied upon.</t>
        </is>
      </c>
      <c r="H8" s="52" t="n"/>
    </row>
    <row r="9" ht="30" customHeight="1" s="28">
      <c r="A9" s="45" t="inlineStr">
        <is>
          <t>V2.2</t>
        </is>
      </c>
      <c r="B9" s="45" t="inlineStr">
        <is>
          <t>Input Validation</t>
        </is>
      </c>
      <c r="C9" s="46" t="inlineStr">
        <is>
          <t>V2.2.3</t>
        </is>
      </c>
      <c r="D9" s="47" t="inlineStr">
        <is>
          <t>Verify that the application ensures that combinations of related data items are reasonable according to the pre-defined rules.</t>
        </is>
      </c>
      <c r="E9" s="48" t="n">
        <v>2</v>
      </c>
      <c r="F9" s="49" t="inlineStr">
        <is>
          <t>Pending</t>
        </is>
      </c>
      <c r="G9" s="47" t="inlineStr">
        <is>
          <t>Pydantic model validators enforce logical consistency of combined fields.</t>
        </is>
      </c>
      <c r="H9" s="47" t="n"/>
    </row>
    <row r="10" ht="18" customHeight="1" s="28">
      <c r="A10" s="44" t="inlineStr">
        <is>
          <t>V2.3</t>
        </is>
      </c>
      <c r="B10" s="44" t="inlineStr">
        <is>
          <t>Business Logic Security</t>
        </is>
      </c>
      <c r="C10" s="44" t="n"/>
      <c r="D10" s="44" t="n"/>
      <c r="E10" s="44" t="n"/>
      <c r="F10" s="44" t="n"/>
      <c r="G10" s="44" t="n"/>
      <c r="H10" s="44" t="n"/>
    </row>
    <row r="11" ht="30" customHeight="1" s="28">
      <c r="A11" s="45" t="inlineStr">
        <is>
          <t>V2.3</t>
        </is>
      </c>
      <c r="B11" s="45" t="inlineStr">
        <is>
          <t>Business Logic Security</t>
        </is>
      </c>
      <c r="C11" s="46" t="inlineStr">
        <is>
          <t>V2.3.1</t>
        </is>
      </c>
      <c r="D11" s="47" t="inlineStr">
        <is>
          <t>Verify that the application will only process business logic flows for the same user in the expected sequential step order and without skipping steps.</t>
        </is>
      </c>
      <c r="E11" s="53" t="n">
        <v>1</v>
      </c>
      <c r="F11" s="49" t="inlineStr">
        <is>
          <t>Pending</t>
        </is>
      </c>
      <c r="G11" s="47" t="inlineStr">
        <is>
          <t>SR-BIZ-03: Order status transitions follow defined state machine; steps cannot be skipped.</t>
        </is>
      </c>
      <c r="H11" s="47" t="n"/>
    </row>
    <row r="12" ht="30" customHeight="1" s="28">
      <c r="A12" s="50" t="inlineStr">
        <is>
          <t>V2.3</t>
        </is>
      </c>
      <c r="B12" s="50" t="inlineStr">
        <is>
          <t>Business Logic Security</t>
        </is>
      </c>
      <c r="C12" s="51" t="inlineStr">
        <is>
          <t>V2.3.2</t>
        </is>
      </c>
      <c r="D12" s="52" t="inlineStr">
        <is>
          <t>Verify that business logic limits are implemented per the application's documentation to avoid business logic flaws being exploited.</t>
        </is>
      </c>
      <c r="E12" s="48" t="n">
        <v>2</v>
      </c>
      <c r="F12" s="49" t="inlineStr">
        <is>
          <t>Pending</t>
        </is>
      </c>
      <c r="G12" s="52" t="inlineStr">
        <is>
          <t>SR-BIZ-01 to SR-BIZ-07: All documented business logic limits implemented and enforced.</t>
        </is>
      </c>
      <c r="H12" s="52" t="n"/>
    </row>
    <row r="13" ht="30" customHeight="1" s="28">
      <c r="A13" s="45" t="inlineStr">
        <is>
          <t>V2.3</t>
        </is>
      </c>
      <c r="B13" s="45" t="inlineStr">
        <is>
          <t>Business Logic Security</t>
        </is>
      </c>
      <c r="C13" s="46" t="inlineStr">
        <is>
          <t>V2.3.3</t>
        </is>
      </c>
      <c r="D13" s="47" t="inlineStr">
        <is>
          <t>Verify that transactions are being used at the business logic level such that either a business logic operation succeeds in its entirety or it is rolled back to the previous correct state.</t>
        </is>
      </c>
      <c r="E13" s="48" t="n">
        <v>2</v>
      </c>
      <c r="F13" s="49" t="inlineStr">
        <is>
          <t>Pending</t>
        </is>
      </c>
      <c r="G13" s="47" t="inlineStr">
        <is>
          <t>SQLAlchemy transactions ensure atomicity; operations roll back on failure.</t>
        </is>
      </c>
      <c r="H13" s="47" t="n"/>
    </row>
    <row r="14" ht="30" customHeight="1" s="28">
      <c r="A14" s="50" t="inlineStr">
        <is>
          <t>V2.3</t>
        </is>
      </c>
      <c r="B14" s="50" t="inlineStr">
        <is>
          <t>Business Logic Security</t>
        </is>
      </c>
      <c r="C14" s="51" t="inlineStr">
        <is>
          <t>V2.3.4</t>
        </is>
      </c>
      <c r="D14" s="52" t="inlineStr">
        <is>
          <t>Verify that business logic level locking mechanisms are used to ensure that limited quantity resources (such as theater seats or delivery slots) cannot be double-booked by manipulating the application's logic.</t>
        </is>
      </c>
      <c r="E14" s="48" t="n">
        <v>2</v>
      </c>
      <c r="F14" s="49" t="inlineStr">
        <is>
          <t>Pending</t>
        </is>
      </c>
      <c r="G14" s="52" t="inlineStr">
        <is>
          <t>SR-DATA-10: Database-level SELECT FOR UPDATE locking prevents double-booking of stock.</t>
        </is>
      </c>
      <c r="H14" s="52" t="n"/>
    </row>
    <row r="15" ht="30" customHeight="1" s="28">
      <c r="A15" s="45" t="inlineStr">
        <is>
          <t>V2.3</t>
        </is>
      </c>
      <c r="B15" s="45" t="inlineStr">
        <is>
          <t>Business Logic Security</t>
        </is>
      </c>
      <c r="C15" s="46" t="inlineStr">
        <is>
          <t>V2.3.5</t>
        </is>
      </c>
      <c r="D15" s="47" t="inlineStr">
        <is>
          <t>Verify that high-value business logic flows require multi-user approval to prevent unauthorized or accidental actions. This could include but is not limited to large monetary transfers, contract approvals, access to classified information, or safety overrides in manufacturing.</t>
        </is>
      </c>
      <c r="E15" s="54" t="n">
        <v>3</v>
      </c>
      <c r="F15" s="49" t="inlineStr">
        <is>
          <t>N/A</t>
        </is>
      </c>
      <c r="G15" s="47" t="inlineStr">
        <is>
          <t>Not applicable for marketplace operations at this scale; no high-value approval workflows defined.</t>
        </is>
      </c>
      <c r="H15" s="47" t="n"/>
    </row>
    <row r="16" ht="18" customHeight="1" s="28">
      <c r="A16" s="44" t="inlineStr">
        <is>
          <t>V2.4</t>
        </is>
      </c>
      <c r="B16" s="44" t="inlineStr">
        <is>
          <t>Anti-automation</t>
        </is>
      </c>
      <c r="C16" s="44" t="n"/>
      <c r="D16" s="44" t="n"/>
      <c r="E16" s="44" t="n"/>
      <c r="F16" s="44" t="n"/>
      <c r="G16" s="44" t="n"/>
      <c r="H16" s="44" t="n"/>
    </row>
    <row r="17" ht="30" customHeight="1" s="28">
      <c r="A17" s="45" t="inlineStr">
        <is>
          <t>V2.4</t>
        </is>
      </c>
      <c r="B17" s="45" t="inlineStr">
        <is>
          <t>Anti-automation</t>
        </is>
      </c>
      <c r="C17" s="46" t="inlineStr">
        <is>
          <t>V2.4.1</t>
        </is>
      </c>
      <c r="D17" s="47" t="inlineStr">
        <is>
          <t>Verify that anti-automation controls are in place to protect against excessive calls to application functions that could lead to data exfiltration, garbage-data creation, quota exhaustion, rate-limit breaches, denial-of-service, or overuse of costly resources.</t>
        </is>
      </c>
      <c r="E17" s="48" t="n">
        <v>2</v>
      </c>
      <c r="F17" s="49" t="inlineStr">
        <is>
          <t>Pending</t>
        </is>
      </c>
      <c r="G17" s="47" t="inlineStr">
        <is>
          <t>SR-AUTH-09: Rate limiting on login (5/min per IP). NFR-04: 100 req/min for other endpoints.</t>
        </is>
      </c>
      <c r="H17" s="47" t="n"/>
    </row>
    <row r="18" ht="30" customHeight="1" s="28">
      <c r="A18" s="50" t="inlineStr">
        <is>
          <t>V2.4</t>
        </is>
      </c>
      <c r="B18" s="50" t="inlineStr">
        <is>
          <t>Anti-automation</t>
        </is>
      </c>
      <c r="C18" s="51" t="inlineStr">
        <is>
          <t>V2.4.2</t>
        </is>
      </c>
      <c r="D18" s="52" t="inlineStr">
        <is>
          <t>Verify that business logic flows require realistic human timing, preventing excessively rapid transaction submissions.</t>
        </is>
      </c>
      <c r="E18" s="54" t="n">
        <v>3</v>
      </c>
      <c r="F18" s="49" t="inlineStr">
        <is>
          <t>N/A</t>
        </is>
      </c>
      <c r="G18" s="52" t="inlineStr">
        <is>
          <t>Human timing requirements not implemented; rate limiting used instead.</t>
        </is>
      </c>
      <c r="H18" s="52" t="n"/>
    </row>
  </sheetData>
  <conditionalFormatting sqref="F2:F18">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8"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39"/>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V3.1</t>
        </is>
      </c>
      <c r="B2" s="44" t="inlineStr">
        <is>
          <t>Web Frontend Security Documentation</t>
        </is>
      </c>
      <c r="C2" s="44" t="n"/>
      <c r="D2" s="44" t="n"/>
      <c r="E2" s="44" t="n"/>
      <c r="F2" s="44" t="n"/>
      <c r="G2" s="44" t="n"/>
      <c r="H2" s="44" t="n"/>
    </row>
    <row r="3" ht="30" customHeight="1" s="28">
      <c r="A3" s="45" t="inlineStr">
        <is>
          <t>V3.1</t>
        </is>
      </c>
      <c r="B3" s="45" t="inlineStr">
        <is>
          <t>Web Frontend Security Documentation</t>
        </is>
      </c>
      <c r="C3" s="46" t="inlineStr">
        <is>
          <t>V3.1.1</t>
        </is>
      </c>
      <c r="D3" s="47" t="inlineStr">
        <is>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is>
      </c>
      <c r="E3" s="54" t="n">
        <v>3</v>
      </c>
      <c r="F3" s="49" t="inlineStr">
        <is>
          <t>N/A</t>
        </is>
      </c>
      <c r="G3" s="47" t="inlineStr">
        <is>
          <t>SecureMarket is a REST API backend with no browser client.</t>
        </is>
      </c>
      <c r="H3" s="47" t="n"/>
    </row>
    <row r="4" ht="18" customHeight="1" s="28">
      <c r="A4" s="44" t="inlineStr">
        <is>
          <t>V3.2</t>
        </is>
      </c>
      <c r="B4" s="44" t="inlineStr">
        <is>
          <t>Unintended Content Interpretation</t>
        </is>
      </c>
      <c r="C4" s="44" t="n"/>
      <c r="D4" s="44" t="n"/>
      <c r="E4" s="44" t="n"/>
      <c r="F4" s="44" t="n"/>
      <c r="G4" s="44" t="n"/>
      <c r="H4" s="44" t="n"/>
    </row>
    <row r="5" ht="30" customHeight="1" s="28">
      <c r="A5" s="45" t="inlineStr">
        <is>
          <t>V3.2</t>
        </is>
      </c>
      <c r="B5" s="45" t="inlineStr">
        <is>
          <t>Unintended Content Interpretation</t>
        </is>
      </c>
      <c r="C5" s="46" t="inlineStr">
        <is>
          <t>V3.2.1</t>
        </is>
      </c>
      <c r="D5" s="47" t="inlineStr">
        <is>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is>
      </c>
      <c r="E5" s="53" t="n">
        <v>1</v>
      </c>
      <c r="F5" s="49" t="inlineStr">
        <is>
          <t>Pending</t>
        </is>
      </c>
      <c r="G5" s="47" t="inlineStr">
        <is>
          <t>SR-DATA-03: Files served with Content-Disposition: attachment preventing unintended rendering.</t>
        </is>
      </c>
      <c r="H5" s="47" t="n"/>
    </row>
    <row r="6" ht="30" customHeight="1" s="28">
      <c r="A6" s="50" t="inlineStr">
        <is>
          <t>V3.2</t>
        </is>
      </c>
      <c r="B6" s="50" t="inlineStr">
        <is>
          <t>Unintended Content Interpretation</t>
        </is>
      </c>
      <c r="C6" s="51" t="inlineStr">
        <is>
          <t>V3.2.2</t>
        </is>
      </c>
      <c r="D6" s="52" t="inlineStr">
        <is>
          <t>Verify that content intended to be displayed as text, rather than rendered as HTML, is handled using safe rendering functions (such as createTextNode or textContent) to prevent unintended execution of content such as HTML or JavaScript.</t>
        </is>
      </c>
      <c r="E6" s="53" t="n">
        <v>1</v>
      </c>
      <c r="F6" s="49" t="inlineStr">
        <is>
          <t>N/A</t>
        </is>
      </c>
      <c r="G6" s="52" t="inlineStr">
        <is>
          <t>No frontend application; REST API only.</t>
        </is>
      </c>
      <c r="H6" s="52" t="n"/>
    </row>
    <row r="7" ht="30" customHeight="1" s="28">
      <c r="A7" s="45" t="inlineStr">
        <is>
          <t>V3.2</t>
        </is>
      </c>
      <c r="B7" s="45" t="inlineStr">
        <is>
          <t>Unintended Content Interpretation</t>
        </is>
      </c>
      <c r="C7" s="46" t="inlineStr">
        <is>
          <t>V3.2.3</t>
        </is>
      </c>
      <c r="D7" s="47" t="inlineStr">
        <is>
          <t>Verify that the application avoids DOM clobbering when using client-side JavaScript by employing explicit variable declarations, performing strict type checking, avoiding storing global variables on the document object, and implementing namespace isolation.</t>
        </is>
      </c>
      <c r="E7" s="54" t="n">
        <v>3</v>
      </c>
      <c r="F7" s="49" t="inlineStr">
        <is>
          <t>N/A</t>
        </is>
      </c>
      <c r="G7" s="47" t="inlineStr">
        <is>
          <t>No JavaScript frontend application.</t>
        </is>
      </c>
      <c r="H7" s="47" t="n"/>
    </row>
    <row r="8" ht="18" customHeight="1" s="28">
      <c r="A8" s="44" t="inlineStr">
        <is>
          <t>V3.3</t>
        </is>
      </c>
      <c r="B8" s="44" t="inlineStr">
        <is>
          <t>Cookie Setup</t>
        </is>
      </c>
      <c r="C8" s="44" t="n"/>
      <c r="D8" s="44" t="n"/>
      <c r="E8" s="44" t="n"/>
      <c r="F8" s="44" t="n"/>
      <c r="G8" s="44" t="n"/>
      <c r="H8" s="44" t="n"/>
    </row>
    <row r="9" ht="30" customHeight="1" s="28">
      <c r="A9" s="45" t="inlineStr">
        <is>
          <t>V3.3</t>
        </is>
      </c>
      <c r="B9" s="45" t="inlineStr">
        <is>
          <t>Cookie Setup</t>
        </is>
      </c>
      <c r="C9" s="46" t="inlineStr">
        <is>
          <t>V3.3.1</t>
        </is>
      </c>
      <c r="D9" s="47" t="inlineStr">
        <is>
          <t>Verify that cookies have the 'Secure' attribute set, and if the '\__Host-' prefix is not used for the cookie name, the '__Secure-' prefix must be used for the cookie name.</t>
        </is>
      </c>
      <c r="E9" s="53" t="n">
        <v>1</v>
      </c>
      <c r="F9" s="49" t="inlineStr">
        <is>
          <t>N/A</t>
        </is>
      </c>
      <c r="G9" s="47" t="inlineStr">
        <is>
          <t>SecureMarket uses JWT in Authorization header, not cookies.</t>
        </is>
      </c>
      <c r="H9" s="47" t="n"/>
    </row>
    <row r="10" ht="30" customHeight="1" s="28">
      <c r="A10" s="50" t="inlineStr">
        <is>
          <t>V3.3</t>
        </is>
      </c>
      <c r="B10" s="50" t="inlineStr">
        <is>
          <t>Cookie Setup</t>
        </is>
      </c>
      <c r="C10" s="51" t="inlineStr">
        <is>
          <t>V3.3.2</t>
        </is>
      </c>
      <c r="D10" s="52" t="inlineStr">
        <is>
          <t>Verify that each cookie's 'SameSite' attribute value is set according to the purpose of the cookie, to limit exposure to user interface redress attacks and browser-based request forgery attacks, commonly known as cross-site request forgery (CSRF).</t>
        </is>
      </c>
      <c r="E10" s="48" t="n">
        <v>2</v>
      </c>
      <c r="F10" s="49" t="inlineStr">
        <is>
          <t>N/A</t>
        </is>
      </c>
      <c r="G10" s="52" t="inlineStr">
        <is>
          <t>No cookies used; JWT tokens only.</t>
        </is>
      </c>
      <c r="H10" s="52" t="n"/>
    </row>
    <row r="11" ht="30" customHeight="1" s="28">
      <c r="A11" s="45" t="inlineStr">
        <is>
          <t>V3.3</t>
        </is>
      </c>
      <c r="B11" s="45" t="inlineStr">
        <is>
          <t>Cookie Setup</t>
        </is>
      </c>
      <c r="C11" s="46" t="inlineStr">
        <is>
          <t>V3.3.3</t>
        </is>
      </c>
      <c r="D11" s="47" t="inlineStr">
        <is>
          <t>Verify that cookies have the '__Host-' prefix for the cookie name unless they are explicitly designed to be shared with other hosts.</t>
        </is>
      </c>
      <c r="E11" s="48" t="n">
        <v>2</v>
      </c>
      <c r="F11" s="49" t="inlineStr">
        <is>
          <t>N/A</t>
        </is>
      </c>
      <c r="G11" s="47" t="inlineStr">
        <is>
          <t>No cookies used; JWT tokens only.</t>
        </is>
      </c>
      <c r="H11" s="47" t="n"/>
    </row>
    <row r="12" ht="30" customHeight="1" s="28">
      <c r="A12" s="50" t="inlineStr">
        <is>
          <t>V3.3</t>
        </is>
      </c>
      <c r="B12" s="50" t="inlineStr">
        <is>
          <t>Cookie Setup</t>
        </is>
      </c>
      <c r="C12" s="51" t="inlineStr">
        <is>
          <t>V3.3.4</t>
        </is>
      </c>
      <c r="D12" s="52" t="inlineStr">
        <is>
          <t>Verify that if the value of a cookie is not meant to be accessible to client-side scripts (such as a session token), the cookie must have the 'HttpOnly' attribute set and the same value (e. g. session token) must only be transferred to the client via the 'Set-Cookie' header field.</t>
        </is>
      </c>
      <c r="E12" s="48" t="n">
        <v>2</v>
      </c>
      <c r="F12" s="49" t="inlineStr">
        <is>
          <t>N/A</t>
        </is>
      </c>
      <c r="G12" s="52" t="inlineStr">
        <is>
          <t>No cookies used; JWT tokens only.</t>
        </is>
      </c>
      <c r="H12" s="52" t="n"/>
    </row>
    <row r="13" ht="30" customHeight="1" s="28">
      <c r="A13" s="45" t="inlineStr">
        <is>
          <t>V3.3</t>
        </is>
      </c>
      <c r="B13" s="45" t="inlineStr">
        <is>
          <t>Cookie Setup</t>
        </is>
      </c>
      <c r="C13" s="46" t="inlineStr">
        <is>
          <t>V3.3.5</t>
        </is>
      </c>
      <c r="D13" s="47" t="inlineStr">
        <is>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is>
      </c>
      <c r="E13" s="54" t="n">
        <v>3</v>
      </c>
      <c r="F13" s="49" t="inlineStr">
        <is>
          <t>N/A</t>
        </is>
      </c>
      <c r="G13" s="47" t="inlineStr">
        <is>
          <t>No cookies used; JWT tokens only.</t>
        </is>
      </c>
      <c r="H13" s="47" t="n"/>
    </row>
    <row r="14" ht="18" customHeight="1" s="28">
      <c r="A14" s="44" t="inlineStr">
        <is>
          <t>V3.4</t>
        </is>
      </c>
      <c r="B14" s="44" t="inlineStr">
        <is>
          <t>Browser Security Mechanism Headers</t>
        </is>
      </c>
      <c r="C14" s="44" t="n"/>
      <c r="D14" s="44" t="n"/>
      <c r="E14" s="44" t="n"/>
      <c r="F14" s="44" t="n"/>
      <c r="G14" s="44" t="n"/>
      <c r="H14" s="44" t="n"/>
    </row>
    <row r="15" ht="30" customHeight="1" s="28">
      <c r="A15" s="45" t="inlineStr">
        <is>
          <t>V3.4</t>
        </is>
      </c>
      <c r="B15" s="45" t="inlineStr">
        <is>
          <t>Browser Security Mechanism Headers</t>
        </is>
      </c>
      <c r="C15" s="46" t="inlineStr">
        <is>
          <t>V3.4.1</t>
        </is>
      </c>
      <c r="D15" s="47" t="inlineStr">
        <is>
          <t>Verify that a Strict-Transport-Security header field is included on all responses to enforce an HTTP Strict Transport Security (HSTS) policy. A maximum age of at least 1 year must be defined, and for L2 and up, the policy must apply to all subdomains as well.</t>
        </is>
      </c>
      <c r="E15" s="53" t="n">
        <v>1</v>
      </c>
      <c r="F15" s="49" t="inlineStr">
        <is>
          <t>Pending</t>
        </is>
      </c>
      <c r="G15" s="47" t="inlineStr">
        <is>
          <t>SR-COMM-02: HSTS header set with max-age=31536000; includeSubDomains.</t>
        </is>
      </c>
      <c r="H15" s="47" t="n"/>
    </row>
    <row r="16" ht="30" customHeight="1" s="28">
      <c r="A16" s="50" t="inlineStr">
        <is>
          <t>V3.4</t>
        </is>
      </c>
      <c r="B16" s="50" t="inlineStr">
        <is>
          <t>Browser Security Mechanism Headers</t>
        </is>
      </c>
      <c r="C16" s="51" t="inlineStr">
        <is>
          <t>V3.4.2</t>
        </is>
      </c>
      <c r="D16" s="52" t="inlineStr">
        <is>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is>
      </c>
      <c r="E16" s="53" t="n">
        <v>1</v>
      </c>
      <c r="F16" s="49" t="inlineStr">
        <is>
          <t>Pending</t>
        </is>
      </c>
      <c r="G16" s="52" t="inlineStr">
        <is>
          <t>SR-COMM-04: CORS restricted to explicit allowlist; no wildcard origins.</t>
        </is>
      </c>
      <c r="H16" s="52" t="n"/>
    </row>
    <row r="17" ht="30" customHeight="1" s="28">
      <c r="A17" s="45" t="inlineStr">
        <is>
          <t>V3.4</t>
        </is>
      </c>
      <c r="B17" s="45" t="inlineStr">
        <is>
          <t>Browser Security Mechanism Headers</t>
        </is>
      </c>
      <c r="C17" s="46" t="inlineStr">
        <is>
          <t>V3.4.3</t>
        </is>
      </c>
      <c r="D17" s="47" t="inlineStr">
        <is>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is>
      </c>
      <c r="E17" s="48" t="n">
        <v>2</v>
      </c>
      <c r="F17" s="49" t="inlineStr">
        <is>
          <t>Pending</t>
        </is>
      </c>
      <c r="G17" s="47" t="inlineStr">
        <is>
          <t>SR-COMM-05: Content-Security-Policy: default-src 'none' set on authenticated responses.</t>
        </is>
      </c>
      <c r="H17" s="47" t="n"/>
    </row>
    <row r="18" ht="30" customHeight="1" s="28">
      <c r="A18" s="50" t="inlineStr">
        <is>
          <t>V3.4</t>
        </is>
      </c>
      <c r="B18" s="50" t="inlineStr">
        <is>
          <t>Browser Security Mechanism Headers</t>
        </is>
      </c>
      <c r="C18" s="51" t="inlineStr">
        <is>
          <t>V3.4.4</t>
        </is>
      </c>
      <c r="D18" s="52" t="inlineStr">
        <is>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is>
      </c>
      <c r="E18" s="48" t="n">
        <v>2</v>
      </c>
      <c r="F18" s="49" t="inlineStr">
        <is>
          <t>Pending</t>
        </is>
      </c>
      <c r="G18" s="52" t="inlineStr">
        <is>
          <t>SR-COMM-05: X-Content-Type-Options: nosniff set on all responses.</t>
        </is>
      </c>
      <c r="H18" s="52" t="n"/>
    </row>
    <row r="19" ht="30" customHeight="1" s="28">
      <c r="A19" s="45" t="inlineStr">
        <is>
          <t>V3.4</t>
        </is>
      </c>
      <c r="B19" s="45" t="inlineStr">
        <is>
          <t>Browser Security Mechanism Headers</t>
        </is>
      </c>
      <c r="C19" s="46" t="inlineStr">
        <is>
          <t>V3.4.5</t>
        </is>
      </c>
      <c r="D19" s="47" t="inlineStr">
        <is>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is>
      </c>
      <c r="E19" s="48" t="n">
        <v>2</v>
      </c>
      <c r="F19" s="49" t="inlineStr">
        <is>
          <t>Pending</t>
        </is>
      </c>
      <c r="G19" s="47" t="inlineStr">
        <is>
          <t>Referrer-Policy header included in security middleware stack.</t>
        </is>
      </c>
      <c r="H19" s="47" t="n"/>
    </row>
    <row r="20" ht="30" customHeight="1" s="28">
      <c r="A20" s="50" t="inlineStr">
        <is>
          <t>V3.4</t>
        </is>
      </c>
      <c r="B20" s="50" t="inlineStr">
        <is>
          <t>Browser Security Mechanism Headers</t>
        </is>
      </c>
      <c r="C20" s="51" t="inlineStr">
        <is>
          <t>V3.4.6</t>
        </is>
      </c>
      <c r="D20" s="52" t="inlineStr">
        <is>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is>
      </c>
      <c r="E20" s="48" t="n">
        <v>2</v>
      </c>
      <c r="F20" s="49" t="inlineStr">
        <is>
          <t>Pending</t>
        </is>
      </c>
      <c r="G20" s="52" t="inlineStr">
        <is>
          <t>SR-COMM-05: X-Frame-Options: DENY set (frame-ancestors equivalent).</t>
        </is>
      </c>
      <c r="H20" s="52" t="n"/>
    </row>
    <row r="21" ht="30" customHeight="1" s="28">
      <c r="A21" s="45" t="inlineStr">
        <is>
          <t>V3.4</t>
        </is>
      </c>
      <c r="B21" s="45" t="inlineStr">
        <is>
          <t>Browser Security Mechanism Headers</t>
        </is>
      </c>
      <c r="C21" s="46" t="inlineStr">
        <is>
          <t>V3.4.7</t>
        </is>
      </c>
      <c r="D21" s="47" t="inlineStr">
        <is>
          <t>Verify that the Content-Security-Policy header field specifies a location to report violations.</t>
        </is>
      </c>
      <c r="E21" s="54" t="n">
        <v>3</v>
      </c>
      <c r="F21" s="49" t="inlineStr">
        <is>
          <t>N/A</t>
        </is>
      </c>
      <c r="G21" s="47" t="inlineStr">
        <is>
          <t>CSP violation reporting endpoint not implemented in Phase 1.</t>
        </is>
      </c>
      <c r="H21" s="47" t="n"/>
    </row>
    <row r="22" ht="30" customHeight="1" s="28">
      <c r="A22" s="50" t="inlineStr">
        <is>
          <t>V3.4</t>
        </is>
      </c>
      <c r="B22" s="50" t="inlineStr">
        <is>
          <t>Browser Security Mechanism Headers</t>
        </is>
      </c>
      <c r="C22" s="51" t="inlineStr">
        <is>
          <t>V3.4.8</t>
        </is>
      </c>
      <c r="D22" s="52" t="inlineStr">
        <is>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is>
      </c>
      <c r="E22" s="54" t="n">
        <v>3</v>
      </c>
      <c r="F22" s="49" t="inlineStr">
        <is>
          <t>N/A</t>
        </is>
      </c>
      <c r="G22" s="52" t="inlineStr">
        <is>
          <t>REST API; no HTML document rendering initiated.</t>
        </is>
      </c>
      <c r="H22" s="52" t="n"/>
    </row>
    <row r="23" ht="18" customHeight="1" s="28">
      <c r="A23" s="44" t="inlineStr">
        <is>
          <t>V3.5</t>
        </is>
      </c>
      <c r="B23" s="44" t="inlineStr">
        <is>
          <t>Browser Origin Separation</t>
        </is>
      </c>
      <c r="C23" s="44" t="n"/>
      <c r="D23" s="44" t="n"/>
      <c r="E23" s="44" t="n"/>
      <c r="F23" s="44" t="n"/>
      <c r="G23" s="44" t="n"/>
      <c r="H23" s="44" t="n"/>
    </row>
    <row r="24" ht="30" customHeight="1" s="28">
      <c r="A24" s="45" t="inlineStr">
        <is>
          <t>V3.5</t>
        </is>
      </c>
      <c r="B24" s="45" t="inlineStr">
        <is>
          <t>Browser Origin Separation</t>
        </is>
      </c>
      <c r="C24" s="46" t="inlineStr">
        <is>
          <t>V3.5.1</t>
        </is>
      </c>
      <c r="D24" s="47" t="inlineStr">
        <is>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is>
      </c>
      <c r="E24" s="53" t="n">
        <v>1</v>
      </c>
      <c r="F24" s="49" t="inlineStr">
        <is>
          <t>Pending</t>
        </is>
      </c>
      <c r="G24" s="47" t="inlineStr">
        <is>
          <t>JWT in Authorization header (not cookies); CORS preflight enforces origin validation (SR-COMM-04).</t>
        </is>
      </c>
      <c r="H24" s="47" t="n"/>
    </row>
    <row r="25" ht="30" customHeight="1" s="28">
      <c r="A25" s="50" t="inlineStr">
        <is>
          <t>V3.5</t>
        </is>
      </c>
      <c r="B25" s="50" t="inlineStr">
        <is>
          <t>Browser Origin Separation</t>
        </is>
      </c>
      <c r="C25" s="51" t="inlineStr">
        <is>
          <t>V3.5.2</t>
        </is>
      </c>
      <c r="D25" s="52" t="inlineStr">
        <is>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is>
      </c>
      <c r="E25" s="53" t="n">
        <v>1</v>
      </c>
      <c r="F25" s="49" t="inlineStr">
        <is>
          <t>Pending</t>
        </is>
      </c>
      <c r="G25" s="52" t="inlineStr">
        <is>
          <t>SR-COMM-04: CORS allowlist validation; preflight required for cross-origin requests.</t>
        </is>
      </c>
      <c r="H25" s="52" t="n"/>
    </row>
    <row r="26" ht="30" customHeight="1" s="28">
      <c r="A26" s="45" t="inlineStr">
        <is>
          <t>V3.5</t>
        </is>
      </c>
      <c r="B26" s="45" t="inlineStr">
        <is>
          <t>Browser Origin Separation</t>
        </is>
      </c>
      <c r="C26" s="46" t="inlineStr">
        <is>
          <t>V3.5.3</t>
        </is>
      </c>
      <c r="D26" s="47" t="inlineStr">
        <is>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is>
      </c>
      <c r="E26" s="53" t="n">
        <v>1</v>
      </c>
      <c r="F26" s="49" t="inlineStr">
        <is>
          <t>Pending</t>
        </is>
      </c>
      <c r="G26" s="47" t="inlineStr">
        <is>
          <t>REST API uses appropriate HTTP methods (POST, PUT, PATCH, DELETE) for state-changing operations.</t>
        </is>
      </c>
      <c r="H26" s="47" t="n"/>
    </row>
    <row r="27" ht="30" customHeight="1" s="28">
      <c r="A27" s="50" t="inlineStr">
        <is>
          <t>V3.5</t>
        </is>
      </c>
      <c r="B27" s="50" t="inlineStr">
        <is>
          <t>Browser Origin Separation</t>
        </is>
      </c>
      <c r="C27" s="51" t="inlineStr">
        <is>
          <t>V3.5.4</t>
        </is>
      </c>
      <c r="D27" s="52" t="inlineStr">
        <is>
          <t>Verify that separate applications are hosted on different hostnames to leverage the restrictions provided by same-origin policy, including how documents or scripts loaded by one origin can interact with resources from another origin and hostname-based restrictions on cookies.</t>
        </is>
      </c>
      <c r="E27" s="48" t="n">
        <v>2</v>
      </c>
      <c r="F27" s="49" t="inlineStr">
        <is>
          <t>N/A</t>
        </is>
      </c>
      <c r="G27" s="52" t="inlineStr">
        <is>
          <t>Single API application; no cross-origin application separation required.</t>
        </is>
      </c>
      <c r="H27" s="52" t="n"/>
    </row>
    <row r="28" ht="30" customHeight="1" s="28">
      <c r="A28" s="45" t="inlineStr">
        <is>
          <t>V3.5</t>
        </is>
      </c>
      <c r="B28" s="45" t="inlineStr">
        <is>
          <t>Browser Origin Separation</t>
        </is>
      </c>
      <c r="C28" s="46" t="inlineStr">
        <is>
          <t>V3.5.5</t>
        </is>
      </c>
      <c r="D28" s="47" t="inlineStr">
        <is>
          <t>Verify that messages received by the postMessage interface are discarded if the origin of the message is not trusted, or if the syntax of the message is invalid.</t>
        </is>
      </c>
      <c r="E28" s="48" t="n">
        <v>2</v>
      </c>
      <c r="F28" s="49" t="inlineStr">
        <is>
          <t>N/A</t>
        </is>
      </c>
      <c r="G28" s="47" t="inlineStr">
        <is>
          <t>No postMessage usage; REST API backend only.</t>
        </is>
      </c>
      <c r="H28" s="47" t="n"/>
    </row>
    <row r="29" ht="30" customHeight="1" s="28">
      <c r="A29" s="50" t="inlineStr">
        <is>
          <t>V3.5</t>
        </is>
      </c>
      <c r="B29" s="50" t="inlineStr">
        <is>
          <t>Browser Origin Separation</t>
        </is>
      </c>
      <c r="C29" s="51" t="inlineStr">
        <is>
          <t>V3.5.6</t>
        </is>
      </c>
      <c r="D29" s="52" t="inlineStr">
        <is>
          <t>Verify that JSONP functionality is not enabled anywhere across the application to avoid Cross-Site Script Inclusion (XSSI) attacks.</t>
        </is>
      </c>
      <c r="E29" s="54" t="n">
        <v>3</v>
      </c>
      <c r="F29" s="49" t="inlineStr">
        <is>
          <t>N/A</t>
        </is>
      </c>
      <c r="G29" s="52" t="inlineStr">
        <is>
          <t>No JSONP; REST API returns JSON with Content-Type: application/json.</t>
        </is>
      </c>
      <c r="H29" s="52" t="n"/>
    </row>
    <row r="30" ht="30" customHeight="1" s="28">
      <c r="A30" s="45" t="inlineStr">
        <is>
          <t>V3.5</t>
        </is>
      </c>
      <c r="B30" s="45" t="inlineStr">
        <is>
          <t>Browser Origin Separation</t>
        </is>
      </c>
      <c r="C30" s="46" t="inlineStr">
        <is>
          <t>V3.5.7</t>
        </is>
      </c>
      <c r="D30" s="47" t="inlineStr">
        <is>
          <t>Verify that data requiring authorization is not included in script resource responses, like JavaScript files, to prevent Cross-Site Script Inclusion (XSSI) attacks.</t>
        </is>
      </c>
      <c r="E30" s="54" t="n">
        <v>3</v>
      </c>
      <c r="F30" s="49" t="inlineStr">
        <is>
          <t>N/A</t>
        </is>
      </c>
      <c r="G30" s="47" t="inlineStr">
        <is>
          <t>No script resources containing authorized data.</t>
        </is>
      </c>
      <c r="H30" s="47" t="n"/>
    </row>
    <row r="31" ht="30" customHeight="1" s="28">
      <c r="A31" s="50" t="inlineStr">
        <is>
          <t>V3.5</t>
        </is>
      </c>
      <c r="B31" s="50" t="inlineStr">
        <is>
          <t>Browser Origin Separation</t>
        </is>
      </c>
      <c r="C31" s="51" t="inlineStr">
        <is>
          <t>V3.5.8</t>
        </is>
      </c>
      <c r="D31" s="52" t="inlineStr">
        <is>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is>
      </c>
      <c r="E31" s="54" t="n">
        <v>3</v>
      </c>
      <c r="F31" s="49" t="inlineStr">
        <is>
          <t>Pending</t>
        </is>
      </c>
      <c r="G31" s="52" t="inlineStr">
        <is>
          <t>SR-DATA-03: Files served through authenticated API endpoints only; not directly accessible.</t>
        </is>
      </c>
      <c r="H31" s="52" t="n"/>
    </row>
    <row r="32" ht="18" customHeight="1" s="28">
      <c r="A32" s="44" t="inlineStr">
        <is>
          <t>V3.6</t>
        </is>
      </c>
      <c r="B32" s="44" t="inlineStr">
        <is>
          <t>External Resource Integrity</t>
        </is>
      </c>
      <c r="C32" s="44" t="n"/>
      <c r="D32" s="44" t="n"/>
      <c r="E32" s="44" t="n"/>
      <c r="F32" s="44" t="n"/>
      <c r="G32" s="44" t="n"/>
      <c r="H32" s="44" t="n"/>
    </row>
    <row r="33" ht="30" customHeight="1" s="28">
      <c r="A33" s="45" t="inlineStr">
        <is>
          <t>V3.6</t>
        </is>
      </c>
      <c r="B33" s="45" t="inlineStr">
        <is>
          <t>External Resource Integrity</t>
        </is>
      </c>
      <c r="C33" s="46" t="inlineStr">
        <is>
          <t>V3.6.1</t>
        </is>
      </c>
      <c r="D33" s="47" t="inlineStr">
        <is>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is>
      </c>
      <c r="E33" s="54" t="n">
        <v>3</v>
      </c>
      <c r="F33" s="49" t="inlineStr">
        <is>
          <t>N/A</t>
        </is>
      </c>
      <c r="G33" s="47" t="inlineStr">
        <is>
          <t>No external CDN assets; self-contained REST API.</t>
        </is>
      </c>
      <c r="H33" s="47" t="n"/>
    </row>
    <row r="34" ht="18" customHeight="1" s="28">
      <c r="A34" s="44" t="inlineStr">
        <is>
          <t>V3.7</t>
        </is>
      </c>
      <c r="B34" s="44" t="inlineStr">
        <is>
          <t>Other Browser Security Considerations</t>
        </is>
      </c>
      <c r="C34" s="44" t="n"/>
      <c r="D34" s="44" t="n"/>
      <c r="E34" s="44" t="n"/>
      <c r="F34" s="44" t="n"/>
      <c r="G34" s="44" t="n"/>
      <c r="H34" s="44" t="n"/>
    </row>
    <row r="35" ht="30" customHeight="1" s="28">
      <c r="A35" s="45" t="inlineStr">
        <is>
          <t>V3.7</t>
        </is>
      </c>
      <c r="B35" s="45" t="inlineStr">
        <is>
          <t>Other Browser Security Considerations</t>
        </is>
      </c>
      <c r="C35" s="46" t="inlineStr">
        <is>
          <t>V3.7.1</t>
        </is>
      </c>
      <c r="D35" s="47" t="inlineStr">
        <is>
          <t>Verify that the application only uses client-side technologies which are still supported and considered secure. Examples of technologies which do not meet this requirement include NSAPI plugins, Flash, Shockwave, ActiveX, Silverlight, NACL, or client-side Java applets.</t>
        </is>
      </c>
      <c r="E35" s="48" t="n">
        <v>2</v>
      </c>
      <c r="F35" s="49" t="inlineStr">
        <is>
          <t>N/A</t>
        </is>
      </c>
      <c r="G35" s="47" t="inlineStr">
        <is>
          <t>REST API backend; no client-side technology stack.</t>
        </is>
      </c>
      <c r="H35" s="47" t="n"/>
    </row>
    <row r="36" ht="30" customHeight="1" s="28">
      <c r="A36" s="50" t="inlineStr">
        <is>
          <t>V3.7</t>
        </is>
      </c>
      <c r="B36" s="50" t="inlineStr">
        <is>
          <t>Other Browser Security Considerations</t>
        </is>
      </c>
      <c r="C36" s="51" t="inlineStr">
        <is>
          <t>V3.7.2</t>
        </is>
      </c>
      <c r="D36" s="52" t="inlineStr">
        <is>
          <t>Verify that the application will only automatically redirect the user to a different hostname or domain (which is not controlled by the application) where the destination appears on an allowlist.</t>
        </is>
      </c>
      <c r="E36" s="48" t="n">
        <v>2</v>
      </c>
      <c r="F36" s="49" t="inlineStr">
        <is>
          <t>N/A</t>
        </is>
      </c>
      <c r="G36" s="52" t="inlineStr">
        <is>
          <t>No automatic redirects to external domains.</t>
        </is>
      </c>
      <c r="H36" s="52" t="n"/>
    </row>
    <row r="37" ht="30" customHeight="1" s="28">
      <c r="A37" s="45" t="inlineStr">
        <is>
          <t>V3.7</t>
        </is>
      </c>
      <c r="B37" s="45" t="inlineStr">
        <is>
          <t>Other Browser Security Considerations</t>
        </is>
      </c>
      <c r="C37" s="46" t="inlineStr">
        <is>
          <t>V3.7.3</t>
        </is>
      </c>
      <c r="D37" s="47" t="inlineStr">
        <is>
          <t>Verify that the application shows a notification when the user is being redirected to a URL outside of the application's control, with an option to cancel the navigation.</t>
        </is>
      </c>
      <c r="E37" s="54" t="n">
        <v>3</v>
      </c>
      <c r="F37" s="49" t="inlineStr">
        <is>
          <t>N/A</t>
        </is>
      </c>
      <c r="G37" s="47" t="inlineStr">
        <is>
          <t>No external redirects implemented.</t>
        </is>
      </c>
      <c r="H37" s="47" t="n"/>
    </row>
    <row r="38" ht="30" customHeight="1" s="28">
      <c r="A38" s="50" t="inlineStr">
        <is>
          <t>V3.7</t>
        </is>
      </c>
      <c r="B38" s="50" t="inlineStr">
        <is>
          <t>Other Browser Security Considerations</t>
        </is>
      </c>
      <c r="C38" s="51" t="inlineStr">
        <is>
          <t>V3.7.4</t>
        </is>
      </c>
      <c r="D38" s="52" t="inlineStr">
        <is>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is>
      </c>
      <c r="E38" s="54" t="n">
        <v>3</v>
      </c>
      <c r="F38" s="49" t="inlineStr">
        <is>
          <t>N/A</t>
        </is>
      </c>
      <c r="G38" s="52" t="inlineStr">
        <is>
          <t>Phase 1 design; HSTS preload list registration not applicable.</t>
        </is>
      </c>
      <c r="H38" s="52" t="n"/>
    </row>
    <row r="39" ht="30" customHeight="1" s="28">
      <c r="A39" s="45" t="inlineStr">
        <is>
          <t>V3.7</t>
        </is>
      </c>
      <c r="B39" s="45" t="inlineStr">
        <is>
          <t>Other Browser Security Considerations</t>
        </is>
      </c>
      <c r="C39" s="46" t="inlineStr">
        <is>
          <t>V3.7.5</t>
        </is>
      </c>
      <c r="D39" s="47" t="inlineStr">
        <is>
          <t>Verify that the application behaves as documented (such as warning the user or blocking access) if the browser used to access the application does not support the expected security features.</t>
        </is>
      </c>
      <c r="E39" s="54" t="n">
        <v>3</v>
      </c>
      <c r="F39" s="49" t="inlineStr">
        <is>
          <t>N/A</t>
        </is>
      </c>
      <c r="G39" s="47" t="inlineStr">
        <is>
          <t>REST API; no browser security feature dependency.</t>
        </is>
      </c>
      <c r="H39" s="47" t="n"/>
    </row>
  </sheetData>
  <conditionalFormatting sqref="F2:F39">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39"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H21"/>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V4.1</t>
        </is>
      </c>
      <c r="B2" s="44" t="inlineStr">
        <is>
          <t>Generic Web Service Security</t>
        </is>
      </c>
      <c r="C2" s="44" t="n"/>
      <c r="D2" s="44" t="n"/>
      <c r="E2" s="44" t="n"/>
      <c r="F2" s="44" t="n"/>
      <c r="G2" s="44" t="n"/>
      <c r="H2" s="44" t="n"/>
    </row>
    <row r="3" ht="30" customHeight="1" s="28">
      <c r="A3" s="45" t="inlineStr">
        <is>
          <t>V4.1</t>
        </is>
      </c>
      <c r="B3" s="45" t="inlineStr">
        <is>
          <t>Generic Web Service Security</t>
        </is>
      </c>
      <c r="C3" s="46" t="inlineStr">
        <is>
          <t>V4.1.1</t>
        </is>
      </c>
      <c r="D3" s="47" t="inlineStr">
        <is>
          <t>Verify that every HTTP response with a message body contains a Content-Type header field that matches the actual content of the response, including the charset parameter to specify safe character encoding (e.g., UTF-8, ISO-8859-1) according to IANA Media Types, such as "text/", "/+xml" and "/xml".</t>
        </is>
      </c>
      <c r="E3" s="53" t="n">
        <v>1</v>
      </c>
      <c r="F3" s="49" t="inlineStr">
        <is>
          <t>Pending</t>
        </is>
      </c>
      <c r="G3" s="47" t="inlineStr">
        <is>
          <t>FastAPI automatically sets Content-Type: application/json with UTF-8 charset on all responses.</t>
        </is>
      </c>
      <c r="H3" s="47" t="n"/>
    </row>
    <row r="4" ht="30" customHeight="1" s="28">
      <c r="A4" s="50" t="inlineStr">
        <is>
          <t>V4.1</t>
        </is>
      </c>
      <c r="B4" s="50" t="inlineStr">
        <is>
          <t>Generic Web Service Security</t>
        </is>
      </c>
      <c r="C4" s="51" t="inlineStr">
        <is>
          <t>V4.1.2</t>
        </is>
      </c>
      <c r="D4" s="52" t="inlineStr">
        <is>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is>
      </c>
      <c r="E4" s="48" t="n">
        <v>2</v>
      </c>
      <c r="F4" s="49" t="inlineStr">
        <is>
          <t>Pending</t>
        </is>
      </c>
      <c r="G4" s="52" t="inlineStr">
        <is>
          <t>SR-COMM-01: HTTP redirects to HTTPS via Nginx reverse proxy (301 redirect).</t>
        </is>
      </c>
      <c r="H4" s="52" t="n"/>
    </row>
    <row r="5" ht="30" customHeight="1" s="28">
      <c r="A5" s="45" t="inlineStr">
        <is>
          <t>V4.1</t>
        </is>
      </c>
      <c r="B5" s="45" t="inlineStr">
        <is>
          <t>Generic Web Service Security</t>
        </is>
      </c>
      <c r="C5" s="46" t="inlineStr">
        <is>
          <t>V4.1.3</t>
        </is>
      </c>
      <c r="D5" s="47" t="inlineStr">
        <is>
          <t>Verify that any HTTP header field used by the application and set by an intermediary layer, such as a load balancer, a web proxy, or a backend-for-frontend service, cannot be overridden by the end-user. Example headers might include X-Real-IP, X-Forwarded-*, or X-User-ID.</t>
        </is>
      </c>
      <c r="E5" s="48" t="n">
        <v>2</v>
      </c>
      <c r="F5" s="49" t="inlineStr">
        <is>
          <t>Pending</t>
        </is>
      </c>
      <c r="G5" s="47" t="inlineStr">
        <is>
          <t>Nginx configured as reverse proxy; X-Real-IP and X-Forwarded-* headers managed at proxy level.</t>
        </is>
      </c>
      <c r="H5" s="47" t="n"/>
    </row>
    <row r="6" ht="30" customHeight="1" s="28">
      <c r="A6" s="50" t="inlineStr">
        <is>
          <t>V4.1</t>
        </is>
      </c>
      <c r="B6" s="50" t="inlineStr">
        <is>
          <t>Generic Web Service Security</t>
        </is>
      </c>
      <c r="C6" s="51" t="inlineStr">
        <is>
          <t>V4.1.4</t>
        </is>
      </c>
      <c r="D6" s="52" t="inlineStr">
        <is>
          <t>Verify that only HTTP methods that are explicitly supported by the application or its API (including OPTIONS during preflight requests) can be used and that unused methods are blocked.</t>
        </is>
      </c>
      <c r="E6" s="54" t="n">
        <v>3</v>
      </c>
      <c r="F6" s="49" t="inlineStr">
        <is>
          <t>Pending</t>
        </is>
      </c>
      <c r="G6" s="52" t="inlineStr">
        <is>
          <t>FastAPI route decorators define explicit HTTP methods; unsupported methods return 405.</t>
        </is>
      </c>
      <c r="H6" s="52" t="n"/>
    </row>
    <row r="7" ht="30" customHeight="1" s="28">
      <c r="A7" s="45" t="inlineStr">
        <is>
          <t>V4.1</t>
        </is>
      </c>
      <c r="B7" s="45" t="inlineStr">
        <is>
          <t>Generic Web Service Security</t>
        </is>
      </c>
      <c r="C7" s="46" t="inlineStr">
        <is>
          <t>V4.1.5</t>
        </is>
      </c>
      <c r="D7" s="47" t="inlineStr">
        <is>
          <t>Verify that per-message digital signatures are used to provide additional assurance on top of transport protections for requests or transactions which are highly sensitive or which traverse a number of systems.</t>
        </is>
      </c>
      <c r="E7" s="54" t="n">
        <v>3</v>
      </c>
      <c r="F7" s="49" t="inlineStr">
        <is>
          <t>N/A</t>
        </is>
      </c>
      <c r="G7" s="47" t="inlineStr">
        <is>
          <t>Per-message digital signatures not required for SecureMarket transactions.</t>
        </is>
      </c>
      <c r="H7" s="47" t="n"/>
    </row>
    <row r="8" ht="18" customHeight="1" s="28">
      <c r="A8" s="44" t="inlineStr">
        <is>
          <t>V4.2</t>
        </is>
      </c>
      <c r="B8" s="44" t="inlineStr">
        <is>
          <t>HTTP Message Structure Validation</t>
        </is>
      </c>
      <c r="C8" s="44" t="n"/>
      <c r="D8" s="44" t="n"/>
      <c r="E8" s="44" t="n"/>
      <c r="F8" s="44" t="n"/>
      <c r="G8" s="44" t="n"/>
      <c r="H8" s="44" t="n"/>
    </row>
    <row r="9" ht="30" customHeight="1" s="28">
      <c r="A9" s="45" t="inlineStr">
        <is>
          <t>V4.2</t>
        </is>
      </c>
      <c r="B9" s="45" t="inlineStr">
        <is>
          <t>HTTP Message Structure Validation</t>
        </is>
      </c>
      <c r="C9" s="46" t="inlineStr">
        <is>
          <t>V4.2.1</t>
        </is>
      </c>
      <c r="D9" s="47" t="inlineStr">
        <is>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is>
      </c>
      <c r="E9" s="48" t="n">
        <v>2</v>
      </c>
      <c r="F9" s="49" t="inlineStr">
        <is>
          <t>Pending</t>
        </is>
      </c>
      <c r="G9" s="47" t="inlineStr">
        <is>
          <t>Nginx and FastAPI handle HTTP message boundary determination correctly per HTTP spec.</t>
        </is>
      </c>
      <c r="H9" s="47" t="n"/>
    </row>
    <row r="10" ht="30" customHeight="1" s="28">
      <c r="A10" s="50" t="inlineStr">
        <is>
          <t>V4.2</t>
        </is>
      </c>
      <c r="B10" s="50" t="inlineStr">
        <is>
          <t>HTTP Message Structure Validation</t>
        </is>
      </c>
      <c r="C10" s="51" t="inlineStr">
        <is>
          <t>V4.2.2</t>
        </is>
      </c>
      <c r="D10" s="52" t="inlineStr">
        <is>
          <t>Verify that when generating HTTP messages, the Content-Length header field does not conflict with the length of the content as determined by the framing of the HTTP protocol, in order to prevent request smuggling attacks.</t>
        </is>
      </c>
      <c r="E10" s="54" t="n">
        <v>3</v>
      </c>
      <c r="F10" s="49" t="inlineStr">
        <is>
          <t>Pending</t>
        </is>
      </c>
      <c r="G10" s="52" t="inlineStr">
        <is>
          <t>FastAPI generates consistent Content-Length headers matching response body length.</t>
        </is>
      </c>
      <c r="H10" s="52" t="n"/>
    </row>
    <row r="11" ht="30" customHeight="1" s="28">
      <c r="A11" s="45" t="inlineStr">
        <is>
          <t>V4.2</t>
        </is>
      </c>
      <c r="B11" s="45" t="inlineStr">
        <is>
          <t>HTTP Message Structure Validation</t>
        </is>
      </c>
      <c r="C11" s="46" t="inlineStr">
        <is>
          <t>V4.2.3</t>
        </is>
      </c>
      <c r="D11" s="47" t="inlineStr">
        <is>
          <t>Verify that the application does not send nor accept HTTP/2 or HTTP/3 messages with connection-specific header fields such as Transfer-Encoding to prevent response splitting and header injection attacks.</t>
        </is>
      </c>
      <c r="E11" s="54" t="n">
        <v>3</v>
      </c>
      <c r="F11" s="49" t="inlineStr">
        <is>
          <t>Pending</t>
        </is>
      </c>
      <c r="G11" s="47" t="inlineStr">
        <is>
          <t>Nginx handles HTTP/2 connection-specific header filtering.</t>
        </is>
      </c>
      <c r="H11" s="47" t="n"/>
    </row>
    <row r="12" ht="30" customHeight="1" s="28">
      <c r="A12" s="50" t="inlineStr">
        <is>
          <t>V4.2</t>
        </is>
      </c>
      <c r="B12" s="50" t="inlineStr">
        <is>
          <t>HTTP Message Structure Validation</t>
        </is>
      </c>
      <c r="C12" s="51" t="inlineStr">
        <is>
          <t>V4.2.4</t>
        </is>
      </c>
      <c r="D12" s="52" t="inlineStr">
        <is>
          <t>Verify that the application only accepts HTTP/2 and HTTP/3 requests where the header fields and values do not contain any CR (\r), LF (\n), or CRLF (\r\n) sequences, to prevent header injection attacks.</t>
        </is>
      </c>
      <c r="E12" s="54" t="n">
        <v>3</v>
      </c>
      <c r="F12" s="49" t="inlineStr">
        <is>
          <t>Pending</t>
        </is>
      </c>
      <c r="G12" s="52" t="inlineStr">
        <is>
          <t>Nginx rejects HTTP/2 headers containing CR/LF sequences.</t>
        </is>
      </c>
      <c r="H12" s="52" t="n"/>
    </row>
    <row r="13" ht="30" customHeight="1" s="28">
      <c r="A13" s="45" t="inlineStr">
        <is>
          <t>V4.2</t>
        </is>
      </c>
      <c r="B13" s="45" t="inlineStr">
        <is>
          <t>HTTP Message Structure Validation</t>
        </is>
      </c>
      <c r="C13" s="46" t="inlineStr">
        <is>
          <t>V4.2.5</t>
        </is>
      </c>
      <c r="D13" s="47" t="inlineStr">
        <is>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is>
      </c>
      <c r="E13" s="54" t="n">
        <v>3</v>
      </c>
      <c r="F13" s="49" t="inlineStr">
        <is>
          <t>Pending</t>
        </is>
      </c>
      <c r="G13" s="47" t="inlineStr">
        <is>
          <t>Nginx configures client_max_body_size and header size limits to prevent DoS.</t>
        </is>
      </c>
      <c r="H13" s="47" t="n"/>
    </row>
    <row r="14" ht="18" customHeight="1" s="28">
      <c r="A14" s="44" t="inlineStr">
        <is>
          <t>V4.3</t>
        </is>
      </c>
      <c r="B14" s="44" t="inlineStr">
        <is>
          <t>GraphQL</t>
        </is>
      </c>
      <c r="C14" s="44" t="n"/>
      <c r="D14" s="44" t="n"/>
      <c r="E14" s="44" t="n"/>
      <c r="F14" s="44" t="n"/>
      <c r="G14" s="44" t="n"/>
      <c r="H14" s="44" t="n"/>
    </row>
    <row r="15" ht="30" customHeight="1" s="28">
      <c r="A15" s="45" t="inlineStr">
        <is>
          <t>V4.3</t>
        </is>
      </c>
      <c r="B15" s="45" t="inlineStr">
        <is>
          <t>GraphQL</t>
        </is>
      </c>
      <c r="C15" s="46" t="inlineStr">
        <is>
          <t>V4.3.1</t>
        </is>
      </c>
      <c r="D15" s="47" t="inlineStr">
        <is>
          <t>Verify that a query allowlist, depth limiting, amount limiting, or query cost analysis is used to prevent GraphQL or data layer expression Denial of Service (DoS) as a result of expensive, nested queries.</t>
        </is>
      </c>
      <c r="E15" s="48" t="n">
        <v>2</v>
      </c>
      <c r="F15" s="49" t="inlineStr">
        <is>
          <t>N/A</t>
        </is>
      </c>
      <c r="G15" s="47" t="inlineStr">
        <is>
          <t>No GraphQL; REST API only.</t>
        </is>
      </c>
      <c r="H15" s="47" t="n"/>
    </row>
    <row r="16" ht="30" customHeight="1" s="28">
      <c r="A16" s="50" t="inlineStr">
        <is>
          <t>V4.3</t>
        </is>
      </c>
      <c r="B16" s="50" t="inlineStr">
        <is>
          <t>GraphQL</t>
        </is>
      </c>
      <c r="C16" s="51" t="inlineStr">
        <is>
          <t>V4.3.2</t>
        </is>
      </c>
      <c r="D16" s="52" t="inlineStr">
        <is>
          <t>Verify that GraphQL introspection queries are disabled in the production environment unless the GraphQL API is meant to be used by other parties.</t>
        </is>
      </c>
      <c r="E16" s="48" t="n">
        <v>2</v>
      </c>
      <c r="F16" s="49" t="inlineStr">
        <is>
          <t>N/A</t>
        </is>
      </c>
      <c r="G16" s="52" t="inlineStr">
        <is>
          <t>No GraphQL; REST API only.</t>
        </is>
      </c>
      <c r="H16" s="52" t="n"/>
    </row>
    <row r="17" ht="18" customHeight="1" s="28">
      <c r="A17" s="44" t="inlineStr">
        <is>
          <t>V4.4</t>
        </is>
      </c>
      <c r="B17" s="44" t="inlineStr">
        <is>
          <t>WebSocket</t>
        </is>
      </c>
      <c r="C17" s="44" t="n"/>
      <c r="D17" s="44" t="n"/>
      <c r="E17" s="44" t="n"/>
      <c r="F17" s="44" t="n"/>
      <c r="G17" s="44" t="n"/>
      <c r="H17" s="44" t="n"/>
    </row>
    <row r="18" ht="30" customHeight="1" s="28">
      <c r="A18" s="45" t="inlineStr">
        <is>
          <t>V4.4</t>
        </is>
      </c>
      <c r="B18" s="45" t="inlineStr">
        <is>
          <t>WebSocket</t>
        </is>
      </c>
      <c r="C18" s="46" t="inlineStr">
        <is>
          <t>V4.4.1</t>
        </is>
      </c>
      <c r="D18" s="47" t="inlineStr">
        <is>
          <t>Verify that WebSocket over TLS (WSS) is used for all WebSocket connections.</t>
        </is>
      </c>
      <c r="E18" s="53" t="n">
        <v>1</v>
      </c>
      <c r="F18" s="49" t="inlineStr">
        <is>
          <t>N/A</t>
        </is>
      </c>
      <c r="G18" s="47" t="inlineStr">
        <is>
          <t>No WebSocket connections in SecureMarket.</t>
        </is>
      </c>
      <c r="H18" s="47" t="n"/>
    </row>
    <row r="19" ht="30" customHeight="1" s="28">
      <c r="A19" s="50" t="inlineStr">
        <is>
          <t>V4.4</t>
        </is>
      </c>
      <c r="B19" s="50" t="inlineStr">
        <is>
          <t>WebSocket</t>
        </is>
      </c>
      <c r="C19" s="51" t="inlineStr">
        <is>
          <t>V4.4.2</t>
        </is>
      </c>
      <c r="D19" s="52" t="inlineStr">
        <is>
          <t>Verify that, during the initial HTTP WebSocket handshake, the Origin header field is checked against a list of origins allowed for the application.</t>
        </is>
      </c>
      <c r="E19" s="48" t="n">
        <v>2</v>
      </c>
      <c r="F19" s="49" t="inlineStr">
        <is>
          <t>N/A</t>
        </is>
      </c>
      <c r="G19" s="52" t="inlineStr">
        <is>
          <t>No WebSocket connections in SecureMarket.</t>
        </is>
      </c>
      <c r="H19" s="52" t="n"/>
    </row>
    <row r="20" ht="30" customHeight="1" s="28">
      <c r="A20" s="45" t="inlineStr">
        <is>
          <t>V4.4</t>
        </is>
      </c>
      <c r="B20" s="45" t="inlineStr">
        <is>
          <t>WebSocket</t>
        </is>
      </c>
      <c r="C20" s="46" t="inlineStr">
        <is>
          <t>V4.4.3</t>
        </is>
      </c>
      <c r="D20" s="47" t="inlineStr">
        <is>
          <t>Verify that, if the application's standard session management cannot be used, dedicated tokens are being used for this, which comply with the relevant Session Management security requirements.</t>
        </is>
      </c>
      <c r="E20" s="48" t="n">
        <v>2</v>
      </c>
      <c r="F20" s="49" t="inlineStr">
        <is>
          <t>N/A</t>
        </is>
      </c>
      <c r="G20" s="47" t="inlineStr">
        <is>
          <t>No WebSocket connections in SecureMarket.</t>
        </is>
      </c>
      <c r="H20" s="47" t="n"/>
    </row>
    <row r="21" ht="30" customHeight="1" s="28">
      <c r="A21" s="50" t="inlineStr">
        <is>
          <t>V4.4</t>
        </is>
      </c>
      <c r="B21" s="50" t="inlineStr">
        <is>
          <t>WebSocket</t>
        </is>
      </c>
      <c r="C21" s="51" t="inlineStr">
        <is>
          <t>V4.4.4</t>
        </is>
      </c>
      <c r="D21" s="52" t="inlineStr">
        <is>
          <t>Verify that dedicated WebSocket session management tokens are initially obtained or validated through the previously authenticated HTTPS session when transitioning an existing HTTPS session to a WebSocket channel.</t>
        </is>
      </c>
      <c r="E21" s="48" t="n">
        <v>2</v>
      </c>
      <c r="F21" s="49" t="inlineStr">
        <is>
          <t>N/A</t>
        </is>
      </c>
      <c r="G21" s="52" t="inlineStr">
        <is>
          <t>No WebSocket connections in SecureMarket.</t>
        </is>
      </c>
      <c r="H21" s="52" t="n"/>
    </row>
  </sheetData>
  <conditionalFormatting sqref="F2:F21">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21"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18"/>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V5.1</t>
        </is>
      </c>
      <c r="B2" s="44" t="inlineStr">
        <is>
          <t>File Handling Documentation</t>
        </is>
      </c>
      <c r="C2" s="44" t="n"/>
      <c r="D2" s="44" t="n"/>
      <c r="E2" s="44" t="n"/>
      <c r="F2" s="44" t="n"/>
      <c r="G2" s="44" t="n"/>
      <c r="H2" s="44" t="n"/>
    </row>
    <row r="3" ht="30" customHeight="1" s="28">
      <c r="A3" s="45" t="inlineStr">
        <is>
          <t>V5.1</t>
        </is>
      </c>
      <c r="B3" s="45" t="inlineStr">
        <is>
          <t>File Handling Documentation</t>
        </is>
      </c>
      <c r="C3" s="46" t="inlineStr">
        <is>
          <t>V5.1.1</t>
        </is>
      </c>
      <c r="D3" s="47" t="inlineStr">
        <is>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is>
      </c>
      <c r="E3" s="48" t="n">
        <v>2</v>
      </c>
      <c r="F3" s="49" t="inlineStr">
        <is>
          <t>Pending</t>
        </is>
      </c>
      <c r="G3" s="47" t="inlineStr">
        <is>
          <t>SR-INPUT-02, SR-INPUT-03: Permitted file types (png/jpeg/webp), max 10MB, and handling behavior documented.</t>
        </is>
      </c>
      <c r="H3" s="47" t="n"/>
    </row>
    <row r="4" ht="18" customHeight="1" s="28">
      <c r="A4" s="44" t="inlineStr">
        <is>
          <t>V5.2</t>
        </is>
      </c>
      <c r="B4" s="44" t="inlineStr">
        <is>
          <t>File Upload and Content</t>
        </is>
      </c>
      <c r="C4" s="44" t="n"/>
      <c r="D4" s="44" t="n"/>
      <c r="E4" s="44" t="n"/>
      <c r="F4" s="44" t="n"/>
      <c r="G4" s="44" t="n"/>
      <c r="H4" s="44" t="n"/>
    </row>
    <row r="5" ht="30" customHeight="1" s="28">
      <c r="A5" s="45" t="inlineStr">
        <is>
          <t>V5.2</t>
        </is>
      </c>
      <c r="B5" s="45" t="inlineStr">
        <is>
          <t>File Upload and Content</t>
        </is>
      </c>
      <c r="C5" s="46" t="inlineStr">
        <is>
          <t>V5.2.1</t>
        </is>
      </c>
      <c r="D5" s="47" t="inlineStr">
        <is>
          <t>Verify that the application will only accept files of a size which it can process without causing a loss of performance or a denial of service attack.</t>
        </is>
      </c>
      <c r="E5" s="53" t="n">
        <v>1</v>
      </c>
      <c r="F5" s="49" t="inlineStr">
        <is>
          <t>Pending</t>
        </is>
      </c>
      <c r="G5" s="47" t="inlineStr">
        <is>
          <t>SR-INPUT-03: 10MB maximum file size enforced at both API and filesystem layers.</t>
        </is>
      </c>
      <c r="H5" s="47" t="n"/>
    </row>
    <row r="6" ht="30" customHeight="1" s="28">
      <c r="A6" s="50" t="inlineStr">
        <is>
          <t>V5.2</t>
        </is>
      </c>
      <c r="B6" s="50" t="inlineStr">
        <is>
          <t>File Upload and Content</t>
        </is>
      </c>
      <c r="C6" s="51" t="inlineStr">
        <is>
          <t>V5.2.2</t>
        </is>
      </c>
      <c r="D6" s="52" t="inlineStr">
        <is>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is>
      </c>
      <c r="E6" s="53" t="n">
        <v>1</v>
      </c>
      <c r="F6" s="49" t="inlineStr">
        <is>
          <t>Pending</t>
        </is>
      </c>
      <c r="G6" s="52" t="inlineStr">
        <is>
          <t>SR-INPUT-02: File extension AND magic bytes validated before acceptance.</t>
        </is>
      </c>
      <c r="H6" s="52" t="n"/>
    </row>
    <row r="7" ht="30" customHeight="1" s="28">
      <c r="A7" s="45" t="inlineStr">
        <is>
          <t>V5.2</t>
        </is>
      </c>
      <c r="B7" s="45" t="inlineStr">
        <is>
          <t>File Upload and Content</t>
        </is>
      </c>
      <c r="C7" s="46" t="inlineStr">
        <is>
          <t>V5.2.3</t>
        </is>
      </c>
      <c r="D7" s="47" t="inlineStr">
        <is>
          <t>Verify that the application checks compressed files (e.g., zip, gz, docx, odt) against maximum allowed uncompressed size and against maximum number of files before uncompressing the file.</t>
        </is>
      </c>
      <c r="E7" s="48" t="n">
        <v>2</v>
      </c>
      <c r="F7" s="49" t="inlineStr">
        <is>
          <t>N/A</t>
        </is>
      </c>
      <c r="G7" s="47" t="inlineStr">
        <is>
          <t>No compressed file uploads accepted; images only.</t>
        </is>
      </c>
      <c r="H7" s="47" t="n"/>
    </row>
    <row r="8" ht="30" customHeight="1" s="28">
      <c r="A8" s="50" t="inlineStr">
        <is>
          <t>V5.2</t>
        </is>
      </c>
      <c r="B8" s="50" t="inlineStr">
        <is>
          <t>File Upload and Content</t>
        </is>
      </c>
      <c r="C8" s="51" t="inlineStr">
        <is>
          <t>V5.2.4</t>
        </is>
      </c>
      <c r="D8" s="52" t="inlineStr">
        <is>
          <t>Verify that a file size quota and maximum number of files per user are enforced to ensure that a single user cannot fill up the storage with too many files, or excessively large files.</t>
        </is>
      </c>
      <c r="E8" s="54" t="n">
        <v>3</v>
      </c>
      <c r="F8" s="49" t="inlineStr">
        <is>
          <t>Pending</t>
        </is>
      </c>
      <c r="G8" s="52" t="inlineStr">
        <is>
          <t>SR-DATA-09: 200MB per-seller quota enforced. SR-BIZ-07: Maximum 10 images per product.</t>
        </is>
      </c>
      <c r="H8" s="52" t="n"/>
    </row>
    <row r="9" ht="30" customHeight="1" s="28">
      <c r="A9" s="45" t="inlineStr">
        <is>
          <t>V5.2</t>
        </is>
      </c>
      <c r="B9" s="45" t="inlineStr">
        <is>
          <t>File Upload and Content</t>
        </is>
      </c>
      <c r="C9" s="46" t="inlineStr">
        <is>
          <t>V5.2.5</t>
        </is>
      </c>
      <c r="D9" s="47" t="inlineStr">
        <is>
          <t>Verify that the application does not allow uploading compressed files containing symlinks unless this is specifically required (in which case it will be necessary to enforce an allowlist of the files that can be symlinked to).</t>
        </is>
      </c>
      <c r="E9" s="54" t="n">
        <v>3</v>
      </c>
      <c r="F9" s="49" t="inlineStr">
        <is>
          <t>N/A</t>
        </is>
      </c>
      <c r="G9" s="47" t="inlineStr">
        <is>
          <t>No compressed file uploads; symlink risk not applicable.</t>
        </is>
      </c>
      <c r="H9" s="47" t="n"/>
    </row>
    <row r="10" ht="30" customHeight="1" s="28">
      <c r="A10" s="50" t="inlineStr">
        <is>
          <t>V5.2</t>
        </is>
      </c>
      <c r="B10" s="50" t="inlineStr">
        <is>
          <t>File Upload and Content</t>
        </is>
      </c>
      <c r="C10" s="51" t="inlineStr">
        <is>
          <t>V5.2.6</t>
        </is>
      </c>
      <c r="D10" s="52" t="inlineStr">
        <is>
          <t>Verify that the application rejects uploaded images with a pixel size larger than the maximum allowed, to prevent pixel flood attacks.</t>
        </is>
      </c>
      <c r="E10" s="54" t="n">
        <v>3</v>
      </c>
      <c r="F10" s="49" t="inlineStr">
        <is>
          <t>N/A</t>
        </is>
      </c>
      <c r="G10" s="52" t="inlineStr">
        <is>
          <t>No pixel size limit defined; 10MB file size limit provides partial mitigation.</t>
        </is>
      </c>
      <c r="H10" s="52" t="n"/>
    </row>
    <row r="11" ht="18" customHeight="1" s="28">
      <c r="A11" s="44" t="inlineStr">
        <is>
          <t>V5.3</t>
        </is>
      </c>
      <c r="B11" s="44" t="inlineStr">
        <is>
          <t>File Storage</t>
        </is>
      </c>
      <c r="C11" s="44" t="n"/>
      <c r="D11" s="44" t="n"/>
      <c r="E11" s="44" t="n"/>
      <c r="F11" s="44" t="n"/>
      <c r="G11" s="44" t="n"/>
      <c r="H11" s="44" t="n"/>
    </row>
    <row r="12" ht="30" customHeight="1" s="28">
      <c r="A12" s="45" t="inlineStr">
        <is>
          <t>V5.3</t>
        </is>
      </c>
      <c r="B12" s="45" t="inlineStr">
        <is>
          <t>File Storage</t>
        </is>
      </c>
      <c r="C12" s="46" t="inlineStr">
        <is>
          <t>V5.3.1</t>
        </is>
      </c>
      <c r="D12" s="47" t="inlineStr">
        <is>
          <t>Verify that files uploaded or generated by untrusted input and stored in a public folder, are not executed as server-side program code when accessed directly with an HTTP request.</t>
        </is>
      </c>
      <c r="E12" s="53" t="n">
        <v>1</v>
      </c>
      <c r="F12" s="49" t="inlineStr">
        <is>
          <t>Pending</t>
        </is>
      </c>
      <c r="G12" s="47" t="inlineStr">
        <is>
          <t>SR-DATA-03: Files stored outside web root; not directly executable via HTTP request.</t>
        </is>
      </c>
      <c r="H12" s="47" t="n"/>
    </row>
    <row r="13" ht="30" customHeight="1" s="28">
      <c r="A13" s="50" t="inlineStr">
        <is>
          <t>V5.3</t>
        </is>
      </c>
      <c r="B13" s="50" t="inlineStr">
        <is>
          <t>File Storage</t>
        </is>
      </c>
      <c r="C13" s="51" t="inlineStr">
        <is>
          <t>V5.3.2</t>
        </is>
      </c>
      <c r="D13" s="52" t="inlineStr">
        <is>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is>
      </c>
      <c r="E13" s="53" t="n">
        <v>1</v>
      </c>
      <c r="F13" s="49" t="inlineStr">
        <is>
          <t>Pending</t>
        </is>
      </c>
      <c r="G13" s="52" t="inlineStr">
        <is>
          <t>SR-DATA-01, SR-INPUT-04: UUID filenames generated server-side; user-supplied filenames never used in path construction.</t>
        </is>
      </c>
      <c r="H13" s="52" t="n"/>
    </row>
    <row r="14" ht="30" customHeight="1" s="28">
      <c r="A14" s="45" t="inlineStr">
        <is>
          <t>V5.3</t>
        </is>
      </c>
      <c r="B14" s="45" t="inlineStr">
        <is>
          <t>File Storage</t>
        </is>
      </c>
      <c r="C14" s="46" t="inlineStr">
        <is>
          <t>V5.3.3</t>
        </is>
      </c>
      <c r="D14" s="47" t="inlineStr">
        <is>
          <t>Verify that server-side file processing, such as file decompression, ignores user-provided path information to prevent vulnerabilities such as zip slip.</t>
        </is>
      </c>
      <c r="E14" s="54" t="n">
        <v>3</v>
      </c>
      <c r="F14" s="49" t="inlineStr">
        <is>
          <t>N/A</t>
        </is>
      </c>
      <c r="G14" s="47" t="inlineStr">
        <is>
          <t>No compressed file processing; zip slip not applicable.</t>
        </is>
      </c>
      <c r="H14" s="47" t="n"/>
    </row>
    <row r="15" ht="18" customHeight="1" s="28">
      <c r="A15" s="44" t="inlineStr">
        <is>
          <t>V5.4</t>
        </is>
      </c>
      <c r="B15" s="44" t="inlineStr">
        <is>
          <t>File Download</t>
        </is>
      </c>
      <c r="C15" s="44" t="n"/>
      <c r="D15" s="44" t="n"/>
      <c r="E15" s="44" t="n"/>
      <c r="F15" s="44" t="n"/>
      <c r="G15" s="44" t="n"/>
      <c r="H15" s="44" t="n"/>
    </row>
    <row r="16" ht="30" customHeight="1" s="28">
      <c r="A16" s="45" t="inlineStr">
        <is>
          <t>V5.4</t>
        </is>
      </c>
      <c r="B16" s="45" t="inlineStr">
        <is>
          <t>File Download</t>
        </is>
      </c>
      <c r="C16" s="46" t="inlineStr">
        <is>
          <t>V5.4.1</t>
        </is>
      </c>
      <c r="D16" s="47" t="inlineStr">
        <is>
          <t>Verify that the application validates or ignores user-submitted filenames, including in a JSON, JSONP, or URL parameter and specifies a filename in the Content-Disposition header field in the response.</t>
        </is>
      </c>
      <c r="E16" s="48" t="n">
        <v>2</v>
      </c>
      <c r="F16" s="49" t="inlineStr">
        <is>
          <t>Pending</t>
        </is>
      </c>
      <c r="G16" s="47" t="inlineStr">
        <is>
          <t>SR-DATA-03: Content-Disposition: attachment header set on all file downloads.</t>
        </is>
      </c>
      <c r="H16" s="47" t="n"/>
    </row>
    <row r="17" ht="30" customHeight="1" s="28">
      <c r="A17" s="50" t="inlineStr">
        <is>
          <t>V5.4</t>
        </is>
      </c>
      <c r="B17" s="50" t="inlineStr">
        <is>
          <t>File Download</t>
        </is>
      </c>
      <c r="C17" s="51" t="inlineStr">
        <is>
          <t>V5.4.2</t>
        </is>
      </c>
      <c r="D17" s="52" t="inlineStr">
        <is>
          <t>Verify that file names served (e.g., in HTTP response header fields or email attachments) are encoded or sanitized (e.g., following RFC 6266) to preserve document structure and prevent injection attacks.</t>
        </is>
      </c>
      <c r="E17" s="48" t="n">
        <v>2</v>
      </c>
      <c r="F17" s="49" t="inlineStr">
        <is>
          <t>Pending</t>
        </is>
      </c>
      <c r="G17" s="52" t="inlineStr">
        <is>
          <t>SR-DATA-01: UUID filenames used in responses; original filenames stored in DB only, never in HTTP headers.</t>
        </is>
      </c>
      <c r="H17" s="52" t="n"/>
    </row>
    <row r="18" ht="30" customHeight="1" s="28">
      <c r="A18" s="45" t="inlineStr">
        <is>
          <t>V5.4</t>
        </is>
      </c>
      <c r="B18" s="45" t="inlineStr">
        <is>
          <t>File Download</t>
        </is>
      </c>
      <c r="C18" s="46" t="inlineStr">
        <is>
          <t>V5.4.3</t>
        </is>
      </c>
      <c r="D18" s="47" t="inlineStr">
        <is>
          <t>Verify that files obtained from untrusted sources are scanned by antivirus scanners to prevent serving of known malicious content.</t>
        </is>
      </c>
      <c r="E18" s="48" t="n">
        <v>2</v>
      </c>
      <c r="F18" s="49" t="inlineStr">
        <is>
          <t>N/A</t>
        </is>
      </c>
      <c r="G18" s="47" t="inlineStr">
        <is>
          <t>Antivirus scanning not implemented; magic byte validation and MIME type checking used as primary controls.</t>
        </is>
      </c>
      <c r="H18" s="47" t="n"/>
    </row>
  </sheetData>
  <conditionalFormatting sqref="F2:F18">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8"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H5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V6.1</t>
        </is>
      </c>
      <c r="B2" s="44" t="inlineStr">
        <is>
          <t>Authentication Documentation</t>
        </is>
      </c>
      <c r="C2" s="44" t="n"/>
      <c r="D2" s="44" t="n"/>
      <c r="E2" s="44" t="n"/>
      <c r="F2" s="44" t="n"/>
      <c r="G2" s="44" t="n"/>
      <c r="H2" s="44" t="n"/>
    </row>
    <row r="3" ht="30" customHeight="1" s="28">
      <c r="A3" s="45" t="inlineStr">
        <is>
          <t>V6.1</t>
        </is>
      </c>
      <c r="B3" s="45" t="inlineStr">
        <is>
          <t>Authentication Documentation</t>
        </is>
      </c>
      <c r="C3" s="46" t="inlineStr">
        <is>
          <t>V6.1.1</t>
        </is>
      </c>
      <c r="D3" s="47" t="inlineStr">
        <is>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is>
      </c>
      <c r="E3" s="53" t="n">
        <v>1</v>
      </c>
      <c r="F3" s="49" t="inlineStr">
        <is>
          <t>Pending</t>
        </is>
      </c>
      <c r="G3" s="47" t="inlineStr">
        <is>
          <t>SR-AUTH-07, SR-AUTH-09, NFR-04: Rate limiting and lockout controls documented in security requirements.</t>
        </is>
      </c>
      <c r="H3" s="47" t="n"/>
    </row>
    <row r="4" ht="30" customHeight="1" s="28">
      <c r="A4" s="50" t="inlineStr">
        <is>
          <t>V6.1</t>
        </is>
      </c>
      <c r="B4" s="50" t="inlineStr">
        <is>
          <t>Authentication Documentation</t>
        </is>
      </c>
      <c r="C4" s="51" t="inlineStr">
        <is>
          <t>V6.1.2</t>
        </is>
      </c>
      <c r="D4" s="52" t="inlineStr">
        <is>
          <t>Verify that a list of context-specific words is documented in order to prevent their use in passwords. The list could include permutations of organization names, product names, system identifiers, project codenames, department or role names, and similar.</t>
        </is>
      </c>
      <c r="E4" s="48" t="n">
        <v>2</v>
      </c>
      <c r="F4" s="49" t="inlineStr">
        <is>
          <t>N/A</t>
        </is>
      </c>
      <c r="G4" s="52" t="inlineStr">
        <is>
          <t>Context-specific password word list not implemented.</t>
        </is>
      </c>
      <c r="H4" s="52" t="n"/>
    </row>
    <row r="5" ht="30" customHeight="1" s="28">
      <c r="A5" s="45" t="inlineStr">
        <is>
          <t>V6.1</t>
        </is>
      </c>
      <c r="B5" s="45" t="inlineStr">
        <is>
          <t>Authentication Documentation</t>
        </is>
      </c>
      <c r="C5" s="46" t="inlineStr">
        <is>
          <t>V6.1.3</t>
        </is>
      </c>
      <c r="D5" s="47" t="inlineStr">
        <is>
          <t>Verify that, if the application includes multiple authentication pathways, these are all documented together with the security controls and authentication strength which must be consistently enforced across them.</t>
        </is>
      </c>
      <c r="E5" s="48" t="n">
        <v>2</v>
      </c>
      <c r="F5" s="49" t="inlineStr">
        <is>
          <t>Pending</t>
        </is>
      </c>
      <c r="G5" s="47" t="inlineStr">
        <is>
          <t>Single authentication pathway (email + password + JWT) documented in architecture.</t>
        </is>
      </c>
      <c r="H5" s="47" t="n"/>
    </row>
    <row r="6" ht="18" customHeight="1" s="28">
      <c r="A6" s="44" t="inlineStr">
        <is>
          <t>V6.2</t>
        </is>
      </c>
      <c r="B6" s="44" t="inlineStr">
        <is>
          <t>Password Security</t>
        </is>
      </c>
      <c r="C6" s="44" t="n"/>
      <c r="D6" s="44" t="n"/>
      <c r="E6" s="44" t="n"/>
      <c r="F6" s="44" t="n"/>
      <c r="G6" s="44" t="n"/>
      <c r="H6" s="44" t="n"/>
    </row>
    <row r="7" ht="30" customHeight="1" s="28">
      <c r="A7" s="45" t="inlineStr">
        <is>
          <t>V6.2</t>
        </is>
      </c>
      <c r="B7" s="45" t="inlineStr">
        <is>
          <t>Password Security</t>
        </is>
      </c>
      <c r="C7" s="46" t="inlineStr">
        <is>
          <t>V6.2.1</t>
        </is>
      </c>
      <c r="D7" s="47" t="inlineStr">
        <is>
          <t>Verify that user set passwords are at least 8 characters in length although a minimum of 15 characters is strongly recommended.</t>
        </is>
      </c>
      <c r="E7" s="53" t="n">
        <v>1</v>
      </c>
      <c r="F7" s="49" t="inlineStr">
        <is>
          <t>Pending</t>
        </is>
      </c>
      <c r="G7" s="47" t="inlineStr">
        <is>
          <t>SR-AUTH-03: Minimum 12 characters enforced (exceeds 8-character minimum).</t>
        </is>
      </c>
      <c r="H7" s="47" t="n"/>
    </row>
    <row r="8" ht="30" customHeight="1" s="28">
      <c r="A8" s="50" t="inlineStr">
        <is>
          <t>V6.2</t>
        </is>
      </c>
      <c r="B8" s="50" t="inlineStr">
        <is>
          <t>Password Security</t>
        </is>
      </c>
      <c r="C8" s="51" t="inlineStr">
        <is>
          <t>V6.2.2</t>
        </is>
      </c>
      <c r="D8" s="52" t="inlineStr">
        <is>
          <t>Verify that users can change their password.</t>
        </is>
      </c>
      <c r="E8" s="53" t="n">
        <v>1</v>
      </c>
      <c r="F8" s="49" t="inlineStr">
        <is>
          <t>Pending</t>
        </is>
      </c>
      <c r="G8" s="52" t="inlineStr">
        <is>
          <t>FR-AC-06: Users can reset/change their password.</t>
        </is>
      </c>
      <c r="H8" s="52" t="n"/>
    </row>
    <row r="9" ht="30" customHeight="1" s="28">
      <c r="A9" s="45" t="inlineStr">
        <is>
          <t>V6.2</t>
        </is>
      </c>
      <c r="B9" s="45" t="inlineStr">
        <is>
          <t>Password Security</t>
        </is>
      </c>
      <c r="C9" s="46" t="inlineStr">
        <is>
          <t>V6.2.3</t>
        </is>
      </c>
      <c r="D9" s="47" t="inlineStr">
        <is>
          <t>Verify that password change functionality requires the user's current and new password.</t>
        </is>
      </c>
      <c r="E9" s="53" t="n">
        <v>1</v>
      </c>
      <c r="F9" s="49" t="inlineStr">
        <is>
          <t>Pending</t>
        </is>
      </c>
      <c r="G9" s="47" t="inlineStr">
        <is>
          <t>Password change requires current password verification before accepting new password.</t>
        </is>
      </c>
      <c r="H9" s="47" t="n"/>
    </row>
    <row r="10" ht="30" customHeight="1" s="28">
      <c r="A10" s="50" t="inlineStr">
        <is>
          <t>V6.2</t>
        </is>
      </c>
      <c r="B10" s="50" t="inlineStr">
        <is>
          <t>Password Security</t>
        </is>
      </c>
      <c r="C10" s="51" t="inlineStr">
        <is>
          <t>V6.2.4</t>
        </is>
      </c>
      <c r="D10" s="52" t="inlineStr">
        <is>
          <t>Verify that passwords submitted during account registration or password change are checked against an available set of, at least, the top 3000 passwords which match the application's password policy, e.g. minimum length.</t>
        </is>
      </c>
      <c r="E10" s="53" t="n">
        <v>1</v>
      </c>
      <c r="F10" s="49" t="inlineStr">
        <is>
          <t>Pending</t>
        </is>
      </c>
      <c r="G10" s="52" t="inlineStr">
        <is>
          <t>SR-AUTH-04: Passwords checked against known breached password list.</t>
        </is>
      </c>
      <c r="H10" s="52" t="n"/>
    </row>
    <row r="11" ht="30" customHeight="1" s="28">
      <c r="A11" s="45" t="inlineStr">
        <is>
          <t>V6.2</t>
        </is>
      </c>
      <c r="B11" s="45" t="inlineStr">
        <is>
          <t>Password Security</t>
        </is>
      </c>
      <c r="C11" s="46" t="inlineStr">
        <is>
          <t>V6.2.5</t>
        </is>
      </c>
      <c r="D11" s="47" t="inlineStr">
        <is>
          <t>Verify that passwords of any composition can be used, without rules limiting the type of characters permitted. There must be no requirement for a minimum number of upper or lower case characters, numbers, or special characters.</t>
        </is>
      </c>
      <c r="E11" s="53" t="n">
        <v>1</v>
      </c>
      <c r="F11" s="49" t="inlineStr">
        <is>
          <t>Fail</t>
        </is>
      </c>
      <c r="G11" s="47" t="inlineStr">
        <is>
          <t>SR-AUTH-03 requires uppercase, lowercase, digits, and special characters. ASVS 5.0 prohibits mandatory character type requirements. Design decision conflicts with current standard.</t>
        </is>
      </c>
      <c r="H11" s="47" t="n"/>
    </row>
    <row r="12" ht="30" customHeight="1" s="28">
      <c r="A12" s="50" t="inlineStr">
        <is>
          <t>V6.2</t>
        </is>
      </c>
      <c r="B12" s="50" t="inlineStr">
        <is>
          <t>Password Security</t>
        </is>
      </c>
      <c r="C12" s="51" t="inlineStr">
        <is>
          <t>V6.2.6</t>
        </is>
      </c>
      <c r="D12" s="52" t="inlineStr">
        <is>
          <t>Verify that password input fields use type=password to mask the entry. Applications may allow the user to temporarily view the entire masked password, or the last typed character of the password.</t>
        </is>
      </c>
      <c r="E12" s="53" t="n">
        <v>1</v>
      </c>
      <c r="F12" s="49" t="inlineStr">
        <is>
          <t>N/A</t>
        </is>
      </c>
      <c r="G12" s="52" t="inlineStr">
        <is>
          <t>REST API; no HTML password input fields.</t>
        </is>
      </c>
      <c r="H12" s="52" t="n"/>
    </row>
    <row r="13" ht="30" customHeight="1" s="28">
      <c r="A13" s="45" t="inlineStr">
        <is>
          <t>V6.2</t>
        </is>
      </c>
      <c r="B13" s="45" t="inlineStr">
        <is>
          <t>Password Security</t>
        </is>
      </c>
      <c r="C13" s="46" t="inlineStr">
        <is>
          <t>V6.2.7</t>
        </is>
      </c>
      <c r="D13" s="47" t="inlineStr">
        <is>
          <t>Verify that "paste" functionality, browser password helpers, and external password managers are permitted.</t>
        </is>
      </c>
      <c r="E13" s="53" t="n">
        <v>1</v>
      </c>
      <c r="F13" s="49" t="inlineStr">
        <is>
          <t>N/A</t>
        </is>
      </c>
      <c r="G13" s="47" t="inlineStr">
        <is>
          <t>REST API; paste functionality managed by API clients, not the application.</t>
        </is>
      </c>
      <c r="H13" s="47" t="n"/>
    </row>
    <row r="14" ht="30" customHeight="1" s="28">
      <c r="A14" s="50" t="inlineStr">
        <is>
          <t>V6.2</t>
        </is>
      </c>
      <c r="B14" s="50" t="inlineStr">
        <is>
          <t>Password Security</t>
        </is>
      </c>
      <c r="C14" s="51" t="inlineStr">
        <is>
          <t>V6.2.8</t>
        </is>
      </c>
      <c r="D14" s="52" t="inlineStr">
        <is>
          <t>Verify that the application verifies the user's password exactly as received from the user, without any modifications such as truncation or case transformation.</t>
        </is>
      </c>
      <c r="E14" s="53" t="n">
        <v>1</v>
      </c>
      <c r="F14" s="49" t="inlineStr">
        <is>
          <t>Pending</t>
        </is>
      </c>
      <c r="G14" s="52" t="inlineStr">
        <is>
          <t>bcrypt receives exact password as submitted; no truncation or transformation applied.</t>
        </is>
      </c>
      <c r="H14" s="52" t="n"/>
    </row>
    <row r="15" ht="30" customHeight="1" s="28">
      <c r="A15" s="45" t="inlineStr">
        <is>
          <t>V6.2</t>
        </is>
      </c>
      <c r="B15" s="45" t="inlineStr">
        <is>
          <t>Password Security</t>
        </is>
      </c>
      <c r="C15" s="46" t="inlineStr">
        <is>
          <t>V6.2.9</t>
        </is>
      </c>
      <c r="D15" s="47" t="inlineStr">
        <is>
          <t>Verify that passwords of at least 64 characters are permitted.</t>
        </is>
      </c>
      <c r="E15" s="48" t="n">
        <v>2</v>
      </c>
      <c r="F15" s="49" t="inlineStr">
        <is>
          <t>Pending</t>
        </is>
      </c>
      <c r="G15" s="47" t="inlineStr">
        <is>
          <t>bcrypt handles passwords of any length; no upper limit enforced.</t>
        </is>
      </c>
      <c r="H15" s="47" t="n"/>
    </row>
    <row r="16" ht="30" customHeight="1" s="28">
      <c r="A16" s="50" t="inlineStr">
        <is>
          <t>V6.2</t>
        </is>
      </c>
      <c r="B16" s="50" t="inlineStr">
        <is>
          <t>Password Security</t>
        </is>
      </c>
      <c r="C16" s="51" t="inlineStr">
        <is>
          <t>V6.2.10</t>
        </is>
      </c>
      <c r="D16" s="52" t="inlineStr">
        <is>
          <t>Verify that a user's password stays valid until it is discovered to be compromised or the user rotates it. The application must not require periodic credential rotation.</t>
        </is>
      </c>
      <c r="E16" s="48" t="n">
        <v>2</v>
      </c>
      <c r="F16" s="49" t="inlineStr">
        <is>
          <t>Pending</t>
        </is>
      </c>
      <c r="G16" s="52" t="inlineStr">
        <is>
          <t>No forced periodic rotation; passwords remain valid until compromised or user-changed.</t>
        </is>
      </c>
      <c r="H16" s="52" t="n"/>
    </row>
    <row r="17" ht="30" customHeight="1" s="28">
      <c r="A17" s="45" t="inlineStr">
        <is>
          <t>V6.2</t>
        </is>
      </c>
      <c r="B17" s="45" t="inlineStr">
        <is>
          <t>Password Security</t>
        </is>
      </c>
      <c r="C17" s="46" t="inlineStr">
        <is>
          <t>V6.2.11</t>
        </is>
      </c>
      <c r="D17" s="47" t="inlineStr">
        <is>
          <t>Verify that the documented list of context specific words is used to prevent easy to guess passwords being created.</t>
        </is>
      </c>
      <c r="E17" s="48" t="n">
        <v>2</v>
      </c>
      <c r="F17" s="49" t="inlineStr">
        <is>
          <t>N/A</t>
        </is>
      </c>
      <c r="G17" s="47" t="inlineStr">
        <is>
          <t>Context-specific password list not implemented.</t>
        </is>
      </c>
      <c r="H17" s="47" t="n"/>
    </row>
    <row r="18" ht="30" customHeight="1" s="28">
      <c r="A18" s="50" t="inlineStr">
        <is>
          <t>V6.2</t>
        </is>
      </c>
      <c r="B18" s="50" t="inlineStr">
        <is>
          <t>Password Security</t>
        </is>
      </c>
      <c r="C18" s="51" t="inlineStr">
        <is>
          <t>V6.2.12</t>
        </is>
      </c>
      <c r="D18" s="52" t="inlineStr">
        <is>
          <t>Verify that passwords submitted during account registration or password changes are checked against a set of breached passwords.</t>
        </is>
      </c>
      <c r="E18" s="48" t="n">
        <v>2</v>
      </c>
      <c r="F18" s="49" t="inlineStr">
        <is>
          <t>Pending</t>
        </is>
      </c>
      <c r="G18" s="52" t="inlineStr">
        <is>
          <t>SR-AUTH-04: Breached password check implemented on registration and password change.</t>
        </is>
      </c>
      <c r="H18" s="52" t="n"/>
    </row>
    <row r="19" ht="18" customHeight="1" s="28">
      <c r="A19" s="44" t="inlineStr">
        <is>
          <t>V6.3</t>
        </is>
      </c>
      <c r="B19" s="44" t="inlineStr">
        <is>
          <t>General Authentication Security</t>
        </is>
      </c>
      <c r="C19" s="44" t="n"/>
      <c r="D19" s="44" t="n"/>
      <c r="E19" s="44" t="n"/>
      <c r="F19" s="44" t="n"/>
      <c r="G19" s="44" t="n"/>
      <c r="H19" s="44" t="n"/>
    </row>
    <row r="20" ht="30" customHeight="1" s="28">
      <c r="A20" s="45" t="inlineStr">
        <is>
          <t>V6.3</t>
        </is>
      </c>
      <c r="B20" s="45" t="inlineStr">
        <is>
          <t>General Authentication Security</t>
        </is>
      </c>
      <c r="C20" s="46" t="inlineStr">
        <is>
          <t>V6.3.1</t>
        </is>
      </c>
      <c r="D20" s="47" t="inlineStr">
        <is>
          <t>Verify that controls to prevent attacks such as credential stuffing and password brute force are implemented according to the application's security documentation.</t>
        </is>
      </c>
      <c r="E20" s="53" t="n">
        <v>1</v>
      </c>
      <c r="F20" s="49" t="inlineStr">
        <is>
          <t>Pending</t>
        </is>
      </c>
      <c r="G20" s="47" t="inlineStr">
        <is>
          <t>SR-AUTH-07, SR-AUTH-09: Account lockout after 5 failures and rate limiting implemented.</t>
        </is>
      </c>
      <c r="H20" s="47" t="n"/>
    </row>
    <row r="21" ht="30" customHeight="1" s="28">
      <c r="A21" s="50" t="inlineStr">
        <is>
          <t>V6.3</t>
        </is>
      </c>
      <c r="B21" s="50" t="inlineStr">
        <is>
          <t>General Authentication Security</t>
        </is>
      </c>
      <c r="C21" s="51" t="inlineStr">
        <is>
          <t>V6.3.2</t>
        </is>
      </c>
      <c r="D21" s="52" t="inlineStr">
        <is>
          <t>Verify that default user accounts (e.g., "root", "admin", or "sa") are not present in the application or are disabled.</t>
        </is>
      </c>
      <c r="E21" s="53" t="n">
        <v>1</v>
      </c>
      <c r="F21" s="49" t="inlineStr">
        <is>
          <t>Pending</t>
        </is>
      </c>
      <c r="G21" s="52" t="inlineStr">
        <is>
          <t>No default accounts in SecureMarket; all accounts require explicit registration.</t>
        </is>
      </c>
      <c r="H21" s="52" t="n"/>
    </row>
    <row r="22" ht="30" customHeight="1" s="28">
      <c r="A22" s="45" t="inlineStr">
        <is>
          <t>V6.3</t>
        </is>
      </c>
      <c r="B22" s="45" t="inlineStr">
        <is>
          <t>General Authentication Security</t>
        </is>
      </c>
      <c r="C22" s="46" t="inlineStr">
        <is>
          <t>V6.3.3</t>
        </is>
      </c>
      <c r="D22" s="47" t="inlineStr">
        <is>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is>
      </c>
      <c r="E22" s="48" t="n">
        <v>2</v>
      </c>
      <c r="F22" s="49" t="inlineStr">
        <is>
          <t>N/A</t>
        </is>
      </c>
      <c r="G22" s="47" t="inlineStr">
        <is>
          <t>MFA not implemented in Phase 1; documented as single-factor with compensating controls.</t>
        </is>
      </c>
      <c r="H22" s="47" t="n"/>
    </row>
    <row r="23" ht="30" customHeight="1" s="28">
      <c r="A23" s="50" t="inlineStr">
        <is>
          <t>V6.3</t>
        </is>
      </c>
      <c r="B23" s="50" t="inlineStr">
        <is>
          <t>General Authentication Security</t>
        </is>
      </c>
      <c r="C23" s="51" t="inlineStr">
        <is>
          <t>V6.3.4</t>
        </is>
      </c>
      <c r="D23" s="52" t="inlineStr">
        <is>
          <t>Verify that, if the application includes multiple authentication pathways, there are no undocumented pathways and that security controls and authentication strength are enforced consistently.</t>
        </is>
      </c>
      <c r="E23" s="48" t="n">
        <v>2</v>
      </c>
      <c r="F23" s="49" t="inlineStr">
        <is>
          <t>Pending</t>
        </is>
      </c>
      <c r="G23" s="52" t="inlineStr">
        <is>
          <t>Single documented authentication pathway; no undocumented alternatives.</t>
        </is>
      </c>
      <c r="H23" s="52" t="n"/>
    </row>
    <row r="24" ht="30" customHeight="1" s="28">
      <c r="A24" s="45" t="inlineStr">
        <is>
          <t>V6.3</t>
        </is>
      </c>
      <c r="B24" s="45" t="inlineStr">
        <is>
          <t>General Authentication Security</t>
        </is>
      </c>
      <c r="C24" s="46" t="inlineStr">
        <is>
          <t>V6.3.5</t>
        </is>
      </c>
      <c r="D24" s="47" t="inlineStr">
        <is>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is>
      </c>
      <c r="E24" s="54" t="n">
        <v>3</v>
      </c>
      <c r="F24" s="49" t="inlineStr">
        <is>
          <t>N/A</t>
        </is>
      </c>
      <c r="G24" s="47" t="inlineStr">
        <is>
          <t>Suspicious authentication notifications not implemented.</t>
        </is>
      </c>
      <c r="H24" s="47" t="n"/>
    </row>
    <row r="25" ht="30" customHeight="1" s="28">
      <c r="A25" s="50" t="inlineStr">
        <is>
          <t>V6.3</t>
        </is>
      </c>
      <c r="B25" s="50" t="inlineStr">
        <is>
          <t>General Authentication Security</t>
        </is>
      </c>
      <c r="C25" s="51" t="inlineStr">
        <is>
          <t>V6.3.6</t>
        </is>
      </c>
      <c r="D25" s="52" t="inlineStr">
        <is>
          <t>Verify that email is not used as either a single-factor or multi-factor authentication mechanism.</t>
        </is>
      </c>
      <c r="E25" s="54" t="n">
        <v>3</v>
      </c>
      <c r="F25" s="49" t="inlineStr">
        <is>
          <t>Pending</t>
        </is>
      </c>
      <c r="G25" s="52" t="inlineStr">
        <is>
          <t>Email used as username/identifier only; password is the authentication factor.</t>
        </is>
      </c>
      <c r="H25" s="52" t="n"/>
    </row>
    <row r="26" ht="30" customHeight="1" s="28">
      <c r="A26" s="45" t="inlineStr">
        <is>
          <t>V6.3</t>
        </is>
      </c>
      <c r="B26" s="45" t="inlineStr">
        <is>
          <t>General Authentication Security</t>
        </is>
      </c>
      <c r="C26" s="46" t="inlineStr">
        <is>
          <t>V6.3.7</t>
        </is>
      </c>
      <c r="D26" s="47" t="inlineStr">
        <is>
          <t>Verify that users are notified after updates to authentication details, such as credential resets or modification of the username or email address.</t>
        </is>
      </c>
      <c r="E26" s="54" t="n">
        <v>3</v>
      </c>
      <c r="F26" s="49" t="inlineStr">
        <is>
          <t>N/A</t>
        </is>
      </c>
      <c r="G26" s="47" t="inlineStr">
        <is>
          <t>User notification on authentication detail updates not implemented in Phase 1.</t>
        </is>
      </c>
      <c r="H26" s="47" t="n"/>
    </row>
    <row r="27" ht="30" customHeight="1" s="28">
      <c r="A27" s="50" t="inlineStr">
        <is>
          <t>V6.3</t>
        </is>
      </c>
      <c r="B27" s="50" t="inlineStr">
        <is>
          <t>General Authentication Security</t>
        </is>
      </c>
      <c r="C27" s="51" t="inlineStr">
        <is>
          <t>V6.3.8</t>
        </is>
      </c>
      <c r="D27" s="52" t="inlineStr">
        <is>
          <t>Verify that valid users cannot be deduced from failed authentication challenges, such as by basing on error messages, HTTP response codes, or different response times. Registration and forgot password functionality must also have this protection.</t>
        </is>
      </c>
      <c r="E27" s="54" t="n">
        <v>3</v>
      </c>
      <c r="F27" s="49" t="inlineStr">
        <is>
          <t>Pending</t>
        </is>
      </c>
      <c r="G27" s="52" t="inlineStr">
        <is>
          <t>bcrypt.checkpw() is constant-time; generic error messages returned regardless of failure reason.</t>
        </is>
      </c>
      <c r="H27" s="52" t="n"/>
    </row>
    <row r="28" ht="18" customHeight="1" s="28">
      <c r="A28" s="44" t="inlineStr">
        <is>
          <t>V6.4</t>
        </is>
      </c>
      <c r="B28" s="44" t="inlineStr">
        <is>
          <t>Authentication Factor Lifecycle and Recovery</t>
        </is>
      </c>
      <c r="C28" s="44" t="n"/>
      <c r="D28" s="44" t="n"/>
      <c r="E28" s="44" t="n"/>
      <c r="F28" s="44" t="n"/>
      <c r="G28" s="44" t="n"/>
      <c r="H28" s="44" t="n"/>
    </row>
    <row r="29" ht="30" customHeight="1" s="28">
      <c r="A29" s="45" t="inlineStr">
        <is>
          <t>V6.4</t>
        </is>
      </c>
      <c r="B29" s="45" t="inlineStr">
        <is>
          <t>Authentication Factor Lifecycle and Recovery</t>
        </is>
      </c>
      <c r="C29" s="46" t="inlineStr">
        <is>
          <t>V6.4.1</t>
        </is>
      </c>
      <c r="D29" s="47" t="inlineStr">
        <is>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is>
      </c>
      <c r="E29" s="53" t="n">
        <v>1</v>
      </c>
      <c r="F29" s="49" t="inlineStr">
        <is>
          <t>Pending</t>
        </is>
      </c>
      <c r="G29" s="47" t="inlineStr">
        <is>
          <t>FR-AC-06: Password reset tokens are time-limited and single-use.</t>
        </is>
      </c>
      <c r="H29" s="47" t="n"/>
    </row>
    <row r="30" ht="30" customHeight="1" s="28">
      <c r="A30" s="50" t="inlineStr">
        <is>
          <t>V6.4</t>
        </is>
      </c>
      <c r="B30" s="50" t="inlineStr">
        <is>
          <t>Authentication Factor Lifecycle and Recovery</t>
        </is>
      </c>
      <c r="C30" s="51" t="inlineStr">
        <is>
          <t>V6.4.2</t>
        </is>
      </c>
      <c r="D30" s="52" t="inlineStr">
        <is>
          <t>Verify that password hints or knowledge-based authentication (so-called "secret questions") are not present.</t>
        </is>
      </c>
      <c r="E30" s="53" t="n">
        <v>1</v>
      </c>
      <c r="F30" s="49" t="inlineStr">
        <is>
          <t>Pending</t>
        </is>
      </c>
      <c r="G30" s="52" t="inlineStr">
        <is>
          <t>No security questions or knowledge-based authentication implemented.</t>
        </is>
      </c>
      <c r="H30" s="52" t="n"/>
    </row>
    <row r="31" ht="30" customHeight="1" s="28">
      <c r="A31" s="45" t="inlineStr">
        <is>
          <t>V6.4</t>
        </is>
      </c>
      <c r="B31" s="45" t="inlineStr">
        <is>
          <t>Authentication Factor Lifecycle and Recovery</t>
        </is>
      </c>
      <c r="C31" s="46" t="inlineStr">
        <is>
          <t>V6.4.3</t>
        </is>
      </c>
      <c r="D31" s="47" t="inlineStr">
        <is>
          <t>Verify that a secure process for resetting a forgotten password is implemented, that does not bypass any enabled multi-factor authentication mechanisms.</t>
        </is>
      </c>
      <c r="E31" s="48" t="n">
        <v>2</v>
      </c>
      <c r="F31" s="49" t="inlineStr">
        <is>
          <t>Pending</t>
        </is>
      </c>
      <c r="G31" s="47" t="inlineStr">
        <is>
          <t>FR-AC-06: Secure password reset process implemented; does not bypass authentication controls.</t>
        </is>
      </c>
      <c r="H31" s="47" t="n"/>
    </row>
    <row r="32" ht="30" customHeight="1" s="28">
      <c r="A32" s="50" t="inlineStr">
        <is>
          <t>V6.4</t>
        </is>
      </c>
      <c r="B32" s="50" t="inlineStr">
        <is>
          <t>Authentication Factor Lifecycle and Recovery</t>
        </is>
      </c>
      <c r="C32" s="51" t="inlineStr">
        <is>
          <t>V6.4.4</t>
        </is>
      </c>
      <c r="D32" s="52" t="inlineStr">
        <is>
          <t>Verify that if a multi-factor authentication factor is lost, evidence of identity proofing is performed at the same level as during enrollment.</t>
        </is>
      </c>
      <c r="E32" s="48" t="n">
        <v>2</v>
      </c>
      <c r="F32" s="49" t="inlineStr">
        <is>
          <t>N/A</t>
        </is>
      </c>
      <c r="G32" s="52" t="inlineStr">
        <is>
          <t>No MFA implemented.</t>
        </is>
      </c>
      <c r="H32" s="52" t="n"/>
    </row>
    <row r="33" ht="30" customHeight="1" s="28">
      <c r="A33" s="45" t="inlineStr">
        <is>
          <t>V6.4</t>
        </is>
      </c>
      <c r="B33" s="45" t="inlineStr">
        <is>
          <t>Authentication Factor Lifecycle and Recovery</t>
        </is>
      </c>
      <c r="C33" s="46" t="inlineStr">
        <is>
          <t>V6.4.5</t>
        </is>
      </c>
      <c r="D33" s="47" t="inlineStr">
        <is>
          <t>Verify that renewal instructions for authentication mechanisms which expire are sent with enough time to be carried out before the old authentication mechanism expires, configuring automated reminders if necessary.</t>
        </is>
      </c>
      <c r="E33" s="54" t="n">
        <v>3</v>
      </c>
      <c r="F33" s="49" t="inlineStr">
        <is>
          <t>N/A</t>
        </is>
      </c>
      <c r="G33" s="47" t="inlineStr">
        <is>
          <t>No expiring authentication mechanisms that require renewal reminders.</t>
        </is>
      </c>
      <c r="H33" s="47" t="n"/>
    </row>
    <row r="34" ht="30" customHeight="1" s="28">
      <c r="A34" s="50" t="inlineStr">
        <is>
          <t>V6.4</t>
        </is>
      </c>
      <c r="B34" s="50" t="inlineStr">
        <is>
          <t>Authentication Factor Lifecycle and Recovery</t>
        </is>
      </c>
      <c r="C34" s="51" t="inlineStr">
        <is>
          <t>V6.4.6</t>
        </is>
      </c>
      <c r="D34" s="52" t="inlineStr">
        <is>
          <t>Verify that administrative users can initiate the password reset process for the user, but that this does not allow them to change or choose the user's password. This prevents a situation where they know the user's password.</t>
        </is>
      </c>
      <c r="E34" s="54" t="n">
        <v>3</v>
      </c>
      <c r="F34" s="49" t="inlineStr">
        <is>
          <t>Pending</t>
        </is>
      </c>
      <c r="G34" s="52" t="inlineStr">
        <is>
          <t>FR-07: Admins can initiate user account actions but cannot directly set passwords.</t>
        </is>
      </c>
      <c r="H34" s="52" t="n"/>
    </row>
    <row r="35" ht="18" customHeight="1" s="28">
      <c r="A35" s="44" t="inlineStr">
        <is>
          <t>V6.5</t>
        </is>
      </c>
      <c r="B35" s="44" t="inlineStr">
        <is>
          <t>General Multi-factor authentication requirements</t>
        </is>
      </c>
      <c r="C35" s="44" t="n"/>
      <c r="D35" s="44" t="n"/>
      <c r="E35" s="44" t="n"/>
      <c r="F35" s="44" t="n"/>
      <c r="G35" s="44" t="n"/>
      <c r="H35" s="44" t="n"/>
    </row>
    <row r="36" ht="30" customHeight="1" s="28">
      <c r="A36" s="45" t="inlineStr">
        <is>
          <t>V6.5</t>
        </is>
      </c>
      <c r="B36" s="45" t="inlineStr">
        <is>
          <t>General Multi-factor authentication requirements</t>
        </is>
      </c>
      <c r="C36" s="46" t="inlineStr">
        <is>
          <t>V6.5.1</t>
        </is>
      </c>
      <c r="D36" s="47" t="inlineStr">
        <is>
          <t>Verify that lookup secrets, out-of-band authentication requests or codes, and time-based one-time passwords (TOTPs) are only successfully usable once.</t>
        </is>
      </c>
      <c r="E36" s="48" t="n">
        <v>2</v>
      </c>
      <c r="F36" s="49" t="inlineStr">
        <is>
          <t>N/A</t>
        </is>
      </c>
      <c r="G36" s="47" t="inlineStr">
        <is>
          <t>No MFA lookup secrets or TOTP implemented.</t>
        </is>
      </c>
      <c r="H36" s="47" t="n"/>
    </row>
    <row r="37" ht="30" customHeight="1" s="28">
      <c r="A37" s="50" t="inlineStr">
        <is>
          <t>V6.5</t>
        </is>
      </c>
      <c r="B37" s="50" t="inlineStr">
        <is>
          <t>General Multi-factor authentication requirements</t>
        </is>
      </c>
      <c r="C37" s="51" t="inlineStr">
        <is>
          <t>V6.5.2</t>
        </is>
      </c>
      <c r="D37" s="52" t="inlineStr">
        <is>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is>
      </c>
      <c r="E37" s="48" t="n">
        <v>2</v>
      </c>
      <c r="F37" s="49" t="inlineStr">
        <is>
          <t>N/A</t>
        </is>
      </c>
      <c r="G37" s="52" t="inlineStr">
        <is>
          <t>No MFA implemented.</t>
        </is>
      </c>
      <c r="H37" s="52" t="n"/>
    </row>
    <row r="38" ht="30" customHeight="1" s="28">
      <c r="A38" s="45" t="inlineStr">
        <is>
          <t>V6.5</t>
        </is>
      </c>
      <c r="B38" s="45" t="inlineStr">
        <is>
          <t>General Multi-factor authentication requirements</t>
        </is>
      </c>
      <c r="C38" s="46" t="inlineStr">
        <is>
          <t>V6.5.3</t>
        </is>
      </c>
      <c r="D38" s="47" t="inlineStr">
        <is>
          <t>Verify that lookup secrets, out-of-band authentication code, and time-based one-time password seeds, are generated using a Cryptographically Secure Pseudorandom Number Generator (CSPRNG) to avoid predictable values.</t>
        </is>
      </c>
      <c r="E38" s="48" t="n">
        <v>2</v>
      </c>
      <c r="F38" s="49" t="inlineStr">
        <is>
          <t>N/A</t>
        </is>
      </c>
      <c r="G38" s="47" t="inlineStr">
        <is>
          <t>No MFA implemented.</t>
        </is>
      </c>
      <c r="H38" s="47" t="n"/>
    </row>
    <row r="39" ht="30" customHeight="1" s="28">
      <c r="A39" s="50" t="inlineStr">
        <is>
          <t>V6.5</t>
        </is>
      </c>
      <c r="B39" s="50" t="inlineStr">
        <is>
          <t>General Multi-factor authentication requirements</t>
        </is>
      </c>
      <c r="C39" s="51" t="inlineStr">
        <is>
          <t>V6.5.4</t>
        </is>
      </c>
      <c r="D39" s="52" t="inlineStr">
        <is>
          <t>Verify that lookup secrets and out-of-band authentication codes have a minimum of 20 bits of entropy (typically 4 random alphanumeric characters or 6 random digits is sufficient).</t>
        </is>
      </c>
      <c r="E39" s="48" t="n">
        <v>2</v>
      </c>
      <c r="F39" s="49" t="inlineStr">
        <is>
          <t>N/A</t>
        </is>
      </c>
      <c r="G39" s="52" t="inlineStr">
        <is>
          <t>No MFA implemented.</t>
        </is>
      </c>
      <c r="H39" s="52" t="n"/>
    </row>
    <row r="40" ht="30" customHeight="1" s="28">
      <c r="A40" s="45" t="inlineStr">
        <is>
          <t>V6.5</t>
        </is>
      </c>
      <c r="B40" s="45" t="inlineStr">
        <is>
          <t>General Multi-factor authentication requirements</t>
        </is>
      </c>
      <c r="C40" s="46" t="inlineStr">
        <is>
          <t>V6.5.5</t>
        </is>
      </c>
      <c r="D40" s="47" t="inlineStr">
        <is>
          <t>Verify that out-of-band authentication requests, codes, or tokens, as well as time-based one-time passwords (TOTPs) have a defined lifetime. Out of band requests must have a maximum lifetime of 10 minutes and for TOTP a maximum lifetime of 30 seconds.</t>
        </is>
      </c>
      <c r="E40" s="48" t="n">
        <v>2</v>
      </c>
      <c r="F40" s="49" t="inlineStr">
        <is>
          <t>N/A</t>
        </is>
      </c>
      <c r="G40" s="47" t="inlineStr">
        <is>
          <t>No MFA implemented.</t>
        </is>
      </c>
      <c r="H40" s="47" t="n"/>
    </row>
    <row r="41" ht="30" customHeight="1" s="28">
      <c r="A41" s="50" t="inlineStr">
        <is>
          <t>V6.5</t>
        </is>
      </c>
      <c r="B41" s="50" t="inlineStr">
        <is>
          <t>General Multi-factor authentication requirements</t>
        </is>
      </c>
      <c r="C41" s="51" t="inlineStr">
        <is>
          <t>V6.5.6</t>
        </is>
      </c>
      <c r="D41" s="52" t="inlineStr">
        <is>
          <t>Verify that any authentication factor (including physical devices) can be revoked in case of theft or other loss.</t>
        </is>
      </c>
      <c r="E41" s="54" t="n">
        <v>3</v>
      </c>
      <c r="F41" s="49" t="inlineStr">
        <is>
          <t>N/A</t>
        </is>
      </c>
      <c r="G41" s="52" t="inlineStr">
        <is>
          <t>No hardware MFA factors implemented.</t>
        </is>
      </c>
      <c r="H41" s="52" t="n"/>
    </row>
    <row r="42" ht="30" customHeight="1" s="28">
      <c r="A42" s="45" t="inlineStr">
        <is>
          <t>V6.5</t>
        </is>
      </c>
      <c r="B42" s="45" t="inlineStr">
        <is>
          <t>General Multi-factor authentication requirements</t>
        </is>
      </c>
      <c r="C42" s="46" t="inlineStr">
        <is>
          <t>V6.5.7</t>
        </is>
      </c>
      <c r="D42" s="47" t="inlineStr">
        <is>
          <t>Verify that biometric authentication mechanisms are only used as secondary factors together with either something you have or something you know.</t>
        </is>
      </c>
      <c r="E42" s="54" t="n">
        <v>3</v>
      </c>
      <c r="F42" s="49" t="inlineStr">
        <is>
          <t>N/A</t>
        </is>
      </c>
      <c r="G42" s="47" t="inlineStr">
        <is>
          <t>No biometric authentication implemented.</t>
        </is>
      </c>
      <c r="H42" s="47" t="n"/>
    </row>
    <row r="43" ht="30" customHeight="1" s="28">
      <c r="A43" s="50" t="inlineStr">
        <is>
          <t>V6.5</t>
        </is>
      </c>
      <c r="B43" s="50" t="inlineStr">
        <is>
          <t>General Multi-factor authentication requirements</t>
        </is>
      </c>
      <c r="C43" s="51" t="inlineStr">
        <is>
          <t>V6.5.8</t>
        </is>
      </c>
      <c r="D43" s="52" t="inlineStr">
        <is>
          <t>Verify that time-based one-time passwords (TOTPs) are checked based on a time source from a trusted service and not from an untrusted or client provided time.</t>
        </is>
      </c>
      <c r="E43" s="54" t="n">
        <v>3</v>
      </c>
      <c r="F43" s="49" t="inlineStr">
        <is>
          <t>N/A</t>
        </is>
      </c>
      <c r="G43" s="52" t="inlineStr">
        <is>
          <t>No TOTP implemented.</t>
        </is>
      </c>
      <c r="H43" s="52" t="n"/>
    </row>
    <row r="44" ht="18" customHeight="1" s="28">
      <c r="A44" s="44" t="inlineStr">
        <is>
          <t>V6.6</t>
        </is>
      </c>
      <c r="B44" s="44" t="inlineStr">
        <is>
          <t>Out-of-Band authentication mechanisms</t>
        </is>
      </c>
      <c r="C44" s="44" t="n"/>
      <c r="D44" s="44" t="n"/>
      <c r="E44" s="44" t="n"/>
      <c r="F44" s="44" t="n"/>
      <c r="G44" s="44" t="n"/>
      <c r="H44" s="44" t="n"/>
    </row>
    <row r="45" ht="30" customHeight="1" s="28">
      <c r="A45" s="45" t="inlineStr">
        <is>
          <t>V6.6</t>
        </is>
      </c>
      <c r="B45" s="45" t="inlineStr">
        <is>
          <t>Out-of-Band authentication mechanisms</t>
        </is>
      </c>
      <c r="C45" s="46" t="inlineStr">
        <is>
          <t>V6.6.1</t>
        </is>
      </c>
      <c r="D45" s="47" t="inlineStr">
        <is>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is>
      </c>
      <c r="E45" s="48" t="n">
        <v>2</v>
      </c>
      <c r="F45" s="49" t="inlineStr">
        <is>
          <t>N/A</t>
        </is>
      </c>
      <c r="G45" s="47" t="inlineStr">
        <is>
          <t>No out-of-band authentication (SMS/phone) implemented.</t>
        </is>
      </c>
      <c r="H45" s="47" t="n"/>
    </row>
    <row r="46" ht="30" customHeight="1" s="28">
      <c r="A46" s="50" t="inlineStr">
        <is>
          <t>V6.6</t>
        </is>
      </c>
      <c r="B46" s="50" t="inlineStr">
        <is>
          <t>Out-of-Band authentication mechanisms</t>
        </is>
      </c>
      <c r="C46" s="51" t="inlineStr">
        <is>
          <t>V6.6.2</t>
        </is>
      </c>
      <c r="D46" s="52" t="inlineStr">
        <is>
          <t>Verify that out-of-band authentication requests, codes, or tokens are bound to the original authentication request for which they were generated and are not usable for a previous or subsequent one.</t>
        </is>
      </c>
      <c r="E46" s="48" t="n">
        <v>2</v>
      </c>
      <c r="F46" s="49" t="inlineStr">
        <is>
          <t>N/A</t>
        </is>
      </c>
      <c r="G46" s="52" t="inlineStr">
        <is>
          <t>No out-of-band authentication implemented.</t>
        </is>
      </c>
      <c r="H46" s="52" t="n"/>
    </row>
    <row r="47" ht="30" customHeight="1" s="28">
      <c r="A47" s="45" t="inlineStr">
        <is>
          <t>V6.6</t>
        </is>
      </c>
      <c r="B47" s="45" t="inlineStr">
        <is>
          <t>Out-of-Band authentication mechanisms</t>
        </is>
      </c>
      <c r="C47" s="46" t="inlineStr">
        <is>
          <t>V6.6.3</t>
        </is>
      </c>
      <c r="D47" s="47" t="inlineStr">
        <is>
          <t>Verify that a code based out-of-band authentication mechanism is protected against brute force attacks by using rate limiting. Consider also using a code with at least 64 bits of entropy.</t>
        </is>
      </c>
      <c r="E47" s="48" t="n">
        <v>2</v>
      </c>
      <c r="F47" s="49" t="inlineStr">
        <is>
          <t>N/A</t>
        </is>
      </c>
      <c r="G47" s="47" t="inlineStr">
        <is>
          <t>No out-of-band authentication implemented.</t>
        </is>
      </c>
      <c r="H47" s="47" t="n"/>
    </row>
    <row r="48" ht="30" customHeight="1" s="28">
      <c r="A48" s="50" t="inlineStr">
        <is>
          <t>V6.6</t>
        </is>
      </c>
      <c r="B48" s="50" t="inlineStr">
        <is>
          <t>Out-of-Band authentication mechanisms</t>
        </is>
      </c>
      <c r="C48" s="51" t="inlineStr">
        <is>
          <t>V6.6.4</t>
        </is>
      </c>
      <c r="D48" s="52" t="inlineStr">
        <is>
          <t>Verify that, where push notifications are used for multi-factor authentication, rate limiting is used to prevent push bombing attacks. Number matching may also mitigate this risk.</t>
        </is>
      </c>
      <c r="E48" s="54" t="n">
        <v>3</v>
      </c>
      <c r="F48" s="49" t="inlineStr">
        <is>
          <t>N/A</t>
        </is>
      </c>
      <c r="G48" s="52" t="inlineStr">
        <is>
          <t>No push notification MFA implemented.</t>
        </is>
      </c>
      <c r="H48" s="52" t="n"/>
    </row>
    <row r="49" ht="18" customHeight="1" s="28">
      <c r="A49" s="44" t="inlineStr">
        <is>
          <t>V6.7</t>
        </is>
      </c>
      <c r="B49" s="44" t="inlineStr">
        <is>
          <t>Cryptographic authentication mechanism</t>
        </is>
      </c>
      <c r="C49" s="44" t="n"/>
      <c r="D49" s="44" t="n"/>
      <c r="E49" s="44" t="n"/>
      <c r="F49" s="44" t="n"/>
      <c r="G49" s="44" t="n"/>
      <c r="H49" s="44" t="n"/>
    </row>
    <row r="50" ht="30" customHeight="1" s="28">
      <c r="A50" s="45" t="inlineStr">
        <is>
          <t>V6.7</t>
        </is>
      </c>
      <c r="B50" s="45" t="inlineStr">
        <is>
          <t>Cryptographic authentication mechanism</t>
        </is>
      </c>
      <c r="C50" s="46" t="inlineStr">
        <is>
          <t>V6.7.1</t>
        </is>
      </c>
      <c r="D50" s="47" t="inlineStr">
        <is>
          <t>Verify that the certificates used to verify cryptographic authentication assertions are stored in a way protects them from modification.</t>
        </is>
      </c>
      <c r="E50" s="54" t="n">
        <v>3</v>
      </c>
      <c r="F50" s="49" t="inlineStr">
        <is>
          <t>N/A</t>
        </is>
      </c>
      <c r="G50" s="47" t="inlineStr">
        <is>
          <t>No certificate-based authentication implemented.</t>
        </is>
      </c>
      <c r="H50" s="47" t="n"/>
    </row>
    <row r="51" ht="30" customHeight="1" s="28">
      <c r="A51" s="50" t="inlineStr">
        <is>
          <t>V6.7</t>
        </is>
      </c>
      <c r="B51" s="50" t="inlineStr">
        <is>
          <t>Cryptographic authentication mechanism</t>
        </is>
      </c>
      <c r="C51" s="51" t="inlineStr">
        <is>
          <t>V6.7.2</t>
        </is>
      </c>
      <c r="D51" s="52" t="inlineStr">
        <is>
          <t>Verify that the challenge nonce is at least 64 bits in length, and statistically unique or unique over the lifetime of the cryptographic device.</t>
        </is>
      </c>
      <c r="E51" s="54" t="n">
        <v>3</v>
      </c>
      <c r="F51" s="49" t="inlineStr">
        <is>
          <t>N/A</t>
        </is>
      </c>
      <c r="G51" s="52" t="inlineStr">
        <is>
          <t>No certificate-based authentication implemented.</t>
        </is>
      </c>
      <c r="H51" s="52" t="n"/>
    </row>
    <row r="52" ht="18" customHeight="1" s="28">
      <c r="A52" s="44" t="inlineStr">
        <is>
          <t>V6.8</t>
        </is>
      </c>
      <c r="B52" s="44" t="inlineStr">
        <is>
          <t>Authentication with an Identity Provider</t>
        </is>
      </c>
      <c r="C52" s="44" t="n"/>
      <c r="D52" s="44" t="n"/>
      <c r="E52" s="44" t="n"/>
      <c r="F52" s="44" t="n"/>
      <c r="G52" s="44" t="n"/>
      <c r="H52" s="44" t="n"/>
    </row>
    <row r="53" ht="30" customHeight="1" s="28">
      <c r="A53" s="45" t="inlineStr">
        <is>
          <t>V6.8</t>
        </is>
      </c>
      <c r="B53" s="45" t="inlineStr">
        <is>
          <t>Authentication with an Identity Provider</t>
        </is>
      </c>
      <c r="C53" s="46" t="inlineStr">
        <is>
          <t>V6.8.1</t>
        </is>
      </c>
      <c r="D53" s="47" t="inlineStr">
        <is>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is>
      </c>
      <c r="E53" s="48" t="n">
        <v>2</v>
      </c>
      <c r="F53" s="49" t="inlineStr">
        <is>
          <t>N/A</t>
        </is>
      </c>
      <c r="G53" s="47" t="inlineStr">
        <is>
          <t>No external identity providers; custom JWT authentication only.</t>
        </is>
      </c>
      <c r="H53" s="47" t="n"/>
    </row>
    <row r="54" ht="30" customHeight="1" s="28">
      <c r="A54" s="50" t="inlineStr">
        <is>
          <t>V6.8</t>
        </is>
      </c>
      <c r="B54" s="50" t="inlineStr">
        <is>
          <t>Authentication with an Identity Provider</t>
        </is>
      </c>
      <c r="C54" s="51" t="inlineStr">
        <is>
          <t>V6.8.2</t>
        </is>
      </c>
      <c r="D54" s="52" t="inlineStr">
        <is>
          <t>Verify that the presence and integrity of digital signatures on authentication assertions (for example on JWTs or SAML assertions) are always validated, rejecting any assertions that are unsigned or have invalid signatures.</t>
        </is>
      </c>
      <c r="E54" s="48" t="n">
        <v>2</v>
      </c>
      <c r="F54" s="49" t="inlineStr">
        <is>
          <t>Pending</t>
        </is>
      </c>
      <c r="G54" s="52" t="inlineStr">
        <is>
          <t>SR-AUTH-06: JWT signatures validated using HS256/RS256; unsigned tokens rejected.</t>
        </is>
      </c>
      <c r="H54" s="52" t="n"/>
    </row>
    <row r="55" ht="30" customHeight="1" s="28">
      <c r="A55" s="45" t="inlineStr">
        <is>
          <t>V6.8</t>
        </is>
      </c>
      <c r="B55" s="45" t="inlineStr">
        <is>
          <t>Authentication with an Identity Provider</t>
        </is>
      </c>
      <c r="C55" s="46" t="inlineStr">
        <is>
          <t>V6.8.3</t>
        </is>
      </c>
      <c r="D55" s="47" t="inlineStr">
        <is>
          <t>Verify that SAML assertions are uniquely processed and used only once within the validity period to prevent replay attacks.</t>
        </is>
      </c>
      <c r="E55" s="48" t="n">
        <v>2</v>
      </c>
      <c r="F55" s="49" t="inlineStr">
        <is>
          <t>N/A</t>
        </is>
      </c>
      <c r="G55" s="47" t="inlineStr">
        <is>
          <t>No SAML assertions used.</t>
        </is>
      </c>
      <c r="H55" s="47" t="n"/>
    </row>
    <row r="56" ht="30" customHeight="1" s="28">
      <c r="A56" s="50" t="inlineStr">
        <is>
          <t>V6.8</t>
        </is>
      </c>
      <c r="B56" s="50" t="inlineStr">
        <is>
          <t>Authentication with an Identity Provider</t>
        </is>
      </c>
      <c r="C56" s="51" t="inlineStr">
        <is>
          <t>V6.8.4</t>
        </is>
      </c>
      <c r="D56" s="52" t="inlineStr">
        <is>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is>
      </c>
      <c r="E56" s="48" t="n">
        <v>2</v>
      </c>
      <c r="F56" s="49" t="inlineStr">
        <is>
          <t>N/A</t>
        </is>
      </c>
      <c r="G56" s="52" t="inlineStr">
        <is>
          <t>No external IdP integration; custom authentication only.</t>
        </is>
      </c>
      <c r="H56" s="52" t="n"/>
    </row>
  </sheetData>
  <conditionalFormatting sqref="F2:F5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5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H2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V7.1</t>
        </is>
      </c>
      <c r="B2" s="44" t="inlineStr">
        <is>
          <t>Session Management Documentation</t>
        </is>
      </c>
      <c r="C2" s="44" t="n"/>
      <c r="D2" s="44" t="n"/>
      <c r="E2" s="44" t="n"/>
      <c r="F2" s="44" t="n"/>
      <c r="G2" s="44" t="n"/>
      <c r="H2" s="44" t="n"/>
    </row>
    <row r="3" ht="30" customHeight="1" s="28">
      <c r="A3" s="45" t="inlineStr">
        <is>
          <t>V7.1</t>
        </is>
      </c>
      <c r="B3" s="45" t="inlineStr">
        <is>
          <t>Session Management Documentation</t>
        </is>
      </c>
      <c r="C3" s="46" t="inlineStr">
        <is>
          <t>V7.1.1</t>
        </is>
      </c>
      <c r="D3" s="47" t="inlineStr">
        <is>
          <t>Verify that the user's session inactivity timeout and absolute maximum session lifetime are documented, are appropriate in combination with other controls, and that the documentation includes justification for any deviations from NIST SP 800-63B re-authentication requirements.</t>
        </is>
      </c>
      <c r="E3" s="48" t="n">
        <v>2</v>
      </c>
      <c r="F3" s="49" t="inlineStr">
        <is>
          <t>Pending</t>
        </is>
      </c>
      <c r="G3" s="47" t="inlineStr">
        <is>
          <t>NFR-05, SR-AUTH-05: Inactivity timeout (30 min) and token lifetimes documented and justified.</t>
        </is>
      </c>
      <c r="H3" s="47" t="n"/>
    </row>
    <row r="4" ht="30" customHeight="1" s="28">
      <c r="A4" s="50" t="inlineStr">
        <is>
          <t>V7.1</t>
        </is>
      </c>
      <c r="B4" s="50" t="inlineStr">
        <is>
          <t>Session Management Documentation</t>
        </is>
      </c>
      <c r="C4" s="51" t="inlineStr">
        <is>
          <t>V7.1.2</t>
        </is>
      </c>
      <c r="D4" s="52" t="inlineStr">
        <is>
          <t>Verify that the documentation defines how many concurrent (parallel) sessions are allowed for one account as well as the intended behaviors and actions to be taken when the maximum number of active sessions is reached.</t>
        </is>
      </c>
      <c r="E4" s="48" t="n">
        <v>2</v>
      </c>
      <c r="F4" s="49" t="inlineStr">
        <is>
          <t>N/A</t>
        </is>
      </c>
      <c r="G4" s="52" t="inlineStr">
        <is>
          <t>Concurrent session limits not defined; unlimited sessions permitted.</t>
        </is>
      </c>
      <c r="H4" s="52" t="n"/>
    </row>
    <row r="5" ht="30" customHeight="1" s="28">
      <c r="A5" s="45" t="inlineStr">
        <is>
          <t>V7.1</t>
        </is>
      </c>
      <c r="B5" s="45" t="inlineStr">
        <is>
          <t>Session Management Documentation</t>
        </is>
      </c>
      <c r="C5" s="46" t="inlineStr">
        <is>
          <t>V7.1.3</t>
        </is>
      </c>
      <c r="D5" s="47" t="inlineStr">
        <is>
          <t>Verify that all systems that create and manage user sessions as part of a federated identity management ecosystem (such as SSO systems) are documented along with controls to coordinate session lifetimes, termination, and any other conditions that require re-authentication.</t>
        </is>
      </c>
      <c r="E5" s="48" t="n">
        <v>2</v>
      </c>
      <c r="F5" s="49" t="inlineStr">
        <is>
          <t>N/A</t>
        </is>
      </c>
      <c r="G5" s="47" t="inlineStr">
        <is>
          <t>No federated identity management; standalone JWT authentication.</t>
        </is>
      </c>
      <c r="H5" s="47" t="n"/>
    </row>
    <row r="6" ht="18" customHeight="1" s="28">
      <c r="A6" s="44" t="inlineStr">
        <is>
          <t>V7.2</t>
        </is>
      </c>
      <c r="B6" s="44" t="inlineStr">
        <is>
          <t>Fundamental Session Management Security</t>
        </is>
      </c>
      <c r="C6" s="44" t="n"/>
      <c r="D6" s="44" t="n"/>
      <c r="E6" s="44" t="n"/>
      <c r="F6" s="44" t="n"/>
      <c r="G6" s="44" t="n"/>
      <c r="H6" s="44" t="n"/>
    </row>
    <row r="7" ht="30" customHeight="1" s="28">
      <c r="A7" s="45" t="inlineStr">
        <is>
          <t>V7.2</t>
        </is>
      </c>
      <c r="B7" s="45" t="inlineStr">
        <is>
          <t>Fundamental Session Management Security</t>
        </is>
      </c>
      <c r="C7" s="46" t="inlineStr">
        <is>
          <t>V7.2.1</t>
        </is>
      </c>
      <c r="D7" s="47" t="inlineStr">
        <is>
          <t>Verify that the application performs all session token verification using a trusted, backend service.</t>
        </is>
      </c>
      <c r="E7" s="53" t="n">
        <v>1</v>
      </c>
      <c r="F7" s="49" t="inlineStr">
        <is>
          <t>Pending</t>
        </is>
      </c>
      <c r="G7" s="47" t="inlineStr">
        <is>
          <t>SR-AUTH-06: JWT signature validated server-side on every request via middleware.</t>
        </is>
      </c>
      <c r="H7" s="47" t="n"/>
    </row>
    <row r="8" ht="30" customHeight="1" s="28">
      <c r="A8" s="50" t="inlineStr">
        <is>
          <t>V7.2</t>
        </is>
      </c>
      <c r="B8" s="50" t="inlineStr">
        <is>
          <t>Fundamental Session Management Security</t>
        </is>
      </c>
      <c r="C8" s="51" t="inlineStr">
        <is>
          <t>V7.2.2</t>
        </is>
      </c>
      <c r="D8" s="52" t="inlineStr">
        <is>
          <t>Verify that the application uses either self-contained or reference tokens that are dynamically generated for session management, i.e. not using static API secrets and keys.</t>
        </is>
      </c>
      <c r="E8" s="53" t="n">
        <v>1</v>
      </c>
      <c r="F8" s="49" t="inlineStr">
        <is>
          <t>Pending</t>
        </is>
      </c>
      <c r="G8" s="52" t="inlineStr">
        <is>
          <t>SR-AUTH-05: Short-lived JWT access tokens and refresh tokens issued; no static API keys.</t>
        </is>
      </c>
      <c r="H8" s="52" t="n"/>
    </row>
    <row r="9" ht="30" customHeight="1" s="28">
      <c r="A9" s="45" t="inlineStr">
        <is>
          <t>V7.2</t>
        </is>
      </c>
      <c r="B9" s="45" t="inlineStr">
        <is>
          <t>Fundamental Session Management Security</t>
        </is>
      </c>
      <c r="C9" s="46" t="inlineStr">
        <is>
          <t>V7.2.3</t>
        </is>
      </c>
      <c r="D9" s="47" t="inlineStr">
        <is>
          <t>Verify that if reference tokens are used to represent user sessions, they are unique and generated using a cryptographically secure pseudo-random number generator (CSPRNG) and possess at least 128 bits of entropy.</t>
        </is>
      </c>
      <c r="E9" s="53" t="n">
        <v>1</v>
      </c>
      <c r="F9" s="49" t="inlineStr">
        <is>
          <t>Pending</t>
        </is>
      </c>
      <c r="G9" s="47" t="inlineStr">
        <is>
          <t>SR-AUTH-06: 256-bit minimum secret for HS256 ensures token entropy exceeds 128 bits.</t>
        </is>
      </c>
      <c r="H9" s="47" t="n"/>
    </row>
    <row r="10" ht="30" customHeight="1" s="28">
      <c r="A10" s="50" t="inlineStr">
        <is>
          <t>V7.2</t>
        </is>
      </c>
      <c r="B10" s="50" t="inlineStr">
        <is>
          <t>Fundamental Session Management Security</t>
        </is>
      </c>
      <c r="C10" s="51" t="inlineStr">
        <is>
          <t>V7.2.4</t>
        </is>
      </c>
      <c r="D10" s="52" t="inlineStr">
        <is>
          <t>Verify that the application generates a new session token on user authentication, including re-authentication, and terminates the current session token.</t>
        </is>
      </c>
      <c r="E10" s="53" t="n">
        <v>1</v>
      </c>
      <c r="F10" s="49" t="inlineStr">
        <is>
          <t>Pending</t>
        </is>
      </c>
      <c r="G10" s="52" t="inlineStr">
        <is>
          <t>New JWT tokens issued on each login; previous access tokens expire after 15 minutes.</t>
        </is>
      </c>
      <c r="H10" s="52" t="n"/>
    </row>
    <row r="11" ht="18" customHeight="1" s="28">
      <c r="A11" s="44" t="inlineStr">
        <is>
          <t>V7.3</t>
        </is>
      </c>
      <c r="B11" s="44" t="inlineStr">
        <is>
          <t>Session Timeout</t>
        </is>
      </c>
      <c r="C11" s="44" t="n"/>
      <c r="D11" s="44" t="n"/>
      <c r="E11" s="44" t="n"/>
      <c r="F11" s="44" t="n"/>
      <c r="G11" s="44" t="n"/>
      <c r="H11" s="44" t="n"/>
    </row>
    <row r="12" ht="30" customHeight="1" s="28">
      <c r="A12" s="45" t="inlineStr">
        <is>
          <t>V7.3</t>
        </is>
      </c>
      <c r="B12" s="45" t="inlineStr">
        <is>
          <t>Session Timeout</t>
        </is>
      </c>
      <c r="C12" s="46" t="inlineStr">
        <is>
          <t>V7.3.1</t>
        </is>
      </c>
      <c r="D12" s="47" t="inlineStr">
        <is>
          <t>Verify that there is an inactivity timeout such that re-authentication is enforced according to risk analysis and documented security decisions.</t>
        </is>
      </c>
      <c r="E12" s="48" t="n">
        <v>2</v>
      </c>
      <c r="F12" s="49" t="inlineStr">
        <is>
          <t>Pending</t>
        </is>
      </c>
      <c r="G12" s="47" t="inlineStr">
        <is>
          <t>NFR-05: Inactivity timeout of 30 minutes enforced via refresh token expiry.</t>
        </is>
      </c>
      <c r="H12" s="47" t="n"/>
    </row>
    <row r="13" ht="30" customHeight="1" s="28">
      <c r="A13" s="50" t="inlineStr">
        <is>
          <t>V7.3</t>
        </is>
      </c>
      <c r="B13" s="50" t="inlineStr">
        <is>
          <t>Session Timeout</t>
        </is>
      </c>
      <c r="C13" s="51" t="inlineStr">
        <is>
          <t>V7.3.2</t>
        </is>
      </c>
      <c r="D13" s="52" t="inlineStr">
        <is>
          <t>Verify that there is an absolute maximum session lifetime such that re-authentication is enforced according to risk analysis and documented security decisions.</t>
        </is>
      </c>
      <c r="E13" s="48" t="n">
        <v>2</v>
      </c>
      <c r="F13" s="49" t="inlineStr">
        <is>
          <t>Pending</t>
        </is>
      </c>
      <c r="G13" s="52" t="inlineStr">
        <is>
          <t>SR-AUTH-05: Access token maximum 15 minutes; refresh token maximum 7 days.</t>
        </is>
      </c>
      <c r="H13" s="52" t="n"/>
    </row>
    <row r="14" ht="18" customHeight="1" s="28">
      <c r="A14" s="44" t="inlineStr">
        <is>
          <t>V7.4</t>
        </is>
      </c>
      <c r="B14" s="44" t="inlineStr">
        <is>
          <t>Session Termination</t>
        </is>
      </c>
      <c r="C14" s="44" t="n"/>
      <c r="D14" s="44" t="n"/>
      <c r="E14" s="44" t="n"/>
      <c r="F14" s="44" t="n"/>
      <c r="G14" s="44" t="n"/>
      <c r="H14" s="44" t="n"/>
    </row>
    <row r="15" ht="30" customHeight="1" s="28">
      <c r="A15" s="45" t="inlineStr">
        <is>
          <t>V7.4</t>
        </is>
      </c>
      <c r="B15" s="45" t="inlineStr">
        <is>
          <t>Session Termination</t>
        </is>
      </c>
      <c r="C15" s="46" t="inlineStr">
        <is>
          <t>V7.4.1</t>
        </is>
      </c>
      <c r="D15" s="47" t="inlineStr">
        <is>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is>
      </c>
      <c r="E15" s="53" t="n">
        <v>1</v>
      </c>
      <c r="F15" s="49" t="inlineStr">
        <is>
          <t>Pending</t>
        </is>
      </c>
      <c r="G15" s="47" t="inlineStr">
        <is>
          <t>SR-AUTH-08: Refresh token invalidated on logout; access tokens expire after 15 minutes.</t>
        </is>
      </c>
      <c r="H15" s="47" t="n"/>
    </row>
    <row r="16" ht="30" customHeight="1" s="28">
      <c r="A16" s="50" t="inlineStr">
        <is>
          <t>V7.4</t>
        </is>
      </c>
      <c r="B16" s="50" t="inlineStr">
        <is>
          <t>Session Termination</t>
        </is>
      </c>
      <c r="C16" s="51" t="inlineStr">
        <is>
          <t>V7.4.2</t>
        </is>
      </c>
      <c r="D16" s="52" t="inlineStr">
        <is>
          <t>Verify that the application terminates all active sessions when a user account is disabled or deleted (such as an employee leaving the company).</t>
        </is>
      </c>
      <c r="E16" s="53" t="n">
        <v>1</v>
      </c>
      <c r="F16" s="49" t="inlineStr">
        <is>
          <t>Pending</t>
        </is>
      </c>
      <c r="G16" s="52" t="inlineStr">
        <is>
          <t>SR-AUTH-08: All refresh tokens invalidated when admin deactivates a user account.</t>
        </is>
      </c>
      <c r="H16" s="52" t="n"/>
    </row>
    <row r="17" ht="30" customHeight="1" s="28">
      <c r="A17" s="45" t="inlineStr">
        <is>
          <t>V7.4</t>
        </is>
      </c>
      <c r="B17" s="45" t="inlineStr">
        <is>
          <t>Session Termination</t>
        </is>
      </c>
      <c r="C17" s="46" t="inlineStr">
        <is>
          <t>V7.4.3</t>
        </is>
      </c>
      <c r="D17" s="47" t="inlineStr">
        <is>
          <t>Verify that the application gives the option to terminate all other active sessions after a successful change or removal of any authentication factor (including password change via reset or recovery and, if present, an MFA settings update).</t>
        </is>
      </c>
      <c r="E17" s="48" t="n">
        <v>2</v>
      </c>
      <c r="F17" s="49" t="inlineStr">
        <is>
          <t>Pending</t>
        </is>
      </c>
      <c r="G17" s="47" t="inlineStr">
        <is>
          <t>SR-AUTH-08: All refresh tokens invalidated on password change.</t>
        </is>
      </c>
      <c r="H17" s="47" t="n"/>
    </row>
    <row r="18" ht="30" customHeight="1" s="28">
      <c r="A18" s="50" t="inlineStr">
        <is>
          <t>V7.4</t>
        </is>
      </c>
      <c r="B18" s="50" t="inlineStr">
        <is>
          <t>Session Termination</t>
        </is>
      </c>
      <c r="C18" s="51" t="inlineStr">
        <is>
          <t>V7.4.4</t>
        </is>
      </c>
      <c r="D18" s="52" t="inlineStr">
        <is>
          <t>Verify that all pages that require authentication have easy and visible access to logout functionality.</t>
        </is>
      </c>
      <c r="E18" s="48" t="n">
        <v>2</v>
      </c>
      <c r="F18" s="49" t="inlineStr">
        <is>
          <t>N/A</t>
        </is>
      </c>
      <c r="G18" s="52" t="inlineStr">
        <is>
          <t>REST API; no HTML pages with logout buttons.</t>
        </is>
      </c>
      <c r="H18" s="52" t="n"/>
    </row>
    <row r="19" ht="30" customHeight="1" s="28">
      <c r="A19" s="45" t="inlineStr">
        <is>
          <t>V7.4</t>
        </is>
      </c>
      <c r="B19" s="45" t="inlineStr">
        <is>
          <t>Session Termination</t>
        </is>
      </c>
      <c r="C19" s="46" t="inlineStr">
        <is>
          <t>V7.4.5</t>
        </is>
      </c>
      <c r="D19" s="47" t="inlineStr">
        <is>
          <t>Verify that application administrators are able to terminate active sessions for an individual user or for all users.</t>
        </is>
      </c>
      <c r="E19" s="48" t="n">
        <v>2</v>
      </c>
      <c r="F19" s="49" t="inlineStr">
        <is>
          <t>Pending</t>
        </is>
      </c>
      <c r="G19" s="47" t="inlineStr">
        <is>
          <t>SR-AUTH-08: Admins can deactivate accounts, invalidating all sessions.</t>
        </is>
      </c>
      <c r="H19" s="47" t="n"/>
    </row>
    <row r="20" ht="18" customHeight="1" s="28">
      <c r="A20" s="44" t="inlineStr">
        <is>
          <t>V7.5</t>
        </is>
      </c>
      <c r="B20" s="44" t="inlineStr">
        <is>
          <t>Defenses Against Session Abuse</t>
        </is>
      </c>
      <c r="C20" s="44" t="n"/>
      <c r="D20" s="44" t="n"/>
      <c r="E20" s="44" t="n"/>
      <c r="F20" s="44" t="n"/>
      <c r="G20" s="44" t="n"/>
      <c r="H20" s="44" t="n"/>
    </row>
    <row r="21" ht="30" customHeight="1" s="28">
      <c r="A21" s="45" t="inlineStr">
        <is>
          <t>V7.5</t>
        </is>
      </c>
      <c r="B21" s="45" t="inlineStr">
        <is>
          <t>Defenses Against Session Abuse</t>
        </is>
      </c>
      <c r="C21" s="46" t="inlineStr">
        <is>
          <t>V7.5.1</t>
        </is>
      </c>
      <c r="D21" s="47" t="inlineStr">
        <is>
          <t>Verify that the application requires full re-authentication before allowing modifications to sensitive account attributes which may affect authentication such as email address, phone number, MFA configuration, or other information used in account recovery.</t>
        </is>
      </c>
      <c r="E21" s="48" t="n">
        <v>2</v>
      </c>
      <c r="F21" s="49" t="inlineStr">
        <is>
          <t>N/A</t>
        </is>
      </c>
      <c r="G21" s="47" t="inlineStr">
        <is>
          <t>Re-authentication before sensitive account changes not explicitly implemented.</t>
        </is>
      </c>
      <c r="H21" s="47" t="n"/>
    </row>
    <row r="22" ht="30" customHeight="1" s="28">
      <c r="A22" s="50" t="inlineStr">
        <is>
          <t>V7.5</t>
        </is>
      </c>
      <c r="B22" s="50" t="inlineStr">
        <is>
          <t>Defenses Against Session Abuse</t>
        </is>
      </c>
      <c r="C22" s="51" t="inlineStr">
        <is>
          <t>V7.5.2</t>
        </is>
      </c>
      <c r="D22" s="52" t="inlineStr">
        <is>
          <t>Verify that users are able to view and (having authenticated again with at least one factor) terminate any or all currently active sessions.</t>
        </is>
      </c>
      <c r="E22" s="48" t="n">
        <v>2</v>
      </c>
      <c r="F22" s="49" t="inlineStr">
        <is>
          <t>N/A</t>
        </is>
      </c>
      <c r="G22" s="52" t="inlineStr">
        <is>
          <t>User session management UI not implemented; REST API only.</t>
        </is>
      </c>
      <c r="H22" s="52" t="n"/>
    </row>
    <row r="23" ht="30" customHeight="1" s="28">
      <c r="A23" s="45" t="inlineStr">
        <is>
          <t>V7.5</t>
        </is>
      </c>
      <c r="B23" s="45" t="inlineStr">
        <is>
          <t>Defenses Against Session Abuse</t>
        </is>
      </c>
      <c r="C23" s="46" t="inlineStr">
        <is>
          <t>V7.5.3</t>
        </is>
      </c>
      <c r="D23" s="47" t="inlineStr">
        <is>
          <t>Verify that the application requires further authentication with at least one factor or secondary verification before performing highly sensitive transactions or operations.</t>
        </is>
      </c>
      <c r="E23" s="54" t="n">
        <v>3</v>
      </c>
      <c r="F23" s="49" t="inlineStr">
        <is>
          <t>N/A</t>
        </is>
      </c>
      <c r="G23" s="47" t="inlineStr">
        <is>
          <t>Step-up authentication for sensitive operations not implemented.</t>
        </is>
      </c>
      <c r="H23" s="47" t="n"/>
    </row>
    <row r="24" ht="18" customHeight="1" s="28">
      <c r="A24" s="44" t="inlineStr">
        <is>
          <t>V7.6</t>
        </is>
      </c>
      <c r="B24" s="44" t="inlineStr">
        <is>
          <t>Federated Re-authentication</t>
        </is>
      </c>
      <c r="C24" s="44" t="n"/>
      <c r="D24" s="44" t="n"/>
      <c r="E24" s="44" t="n"/>
      <c r="F24" s="44" t="n"/>
      <c r="G24" s="44" t="n"/>
      <c r="H24" s="44" t="n"/>
    </row>
    <row r="25" ht="30" customHeight="1" s="28">
      <c r="A25" s="45" t="inlineStr">
        <is>
          <t>V7.6</t>
        </is>
      </c>
      <c r="B25" s="45" t="inlineStr">
        <is>
          <t>Federated Re-authentication</t>
        </is>
      </c>
      <c r="C25" s="46" t="inlineStr">
        <is>
          <t>V7.6.1</t>
        </is>
      </c>
      <c r="D25" s="47" t="inlineStr">
        <is>
          <t>Verify that session lifetime and termination between Relying Parties (RPs) and Identity Providers (IdPs) behave as documented, requiring re-authentication as necessary such as when the maximum time between IdP authentication events is reached.</t>
        </is>
      </c>
      <c r="E25" s="48" t="n">
        <v>2</v>
      </c>
      <c r="F25" s="49" t="inlineStr">
        <is>
          <t>N/A</t>
        </is>
      </c>
      <c r="G25" s="47" t="inlineStr">
        <is>
          <t>No federated identity; standalone JWT session management.</t>
        </is>
      </c>
      <c r="H25" s="47" t="n"/>
    </row>
    <row r="26" ht="30" customHeight="1" s="28">
      <c r="A26" s="50" t="inlineStr">
        <is>
          <t>V7.6</t>
        </is>
      </c>
      <c r="B26" s="50" t="inlineStr">
        <is>
          <t>Federated Re-authentication</t>
        </is>
      </c>
      <c r="C26" s="51" t="inlineStr">
        <is>
          <t>V7.6.2</t>
        </is>
      </c>
      <c r="D26" s="52" t="inlineStr">
        <is>
          <t>Verify that creation of a session requires either the user's consent or an explicit action, preventing the creation of new application sessions without user interaction.</t>
        </is>
      </c>
      <c r="E26" s="48" t="n">
        <v>2</v>
      </c>
      <c r="F26" s="49" t="inlineStr">
        <is>
          <t>Pending</t>
        </is>
      </c>
      <c r="G26" s="52" t="inlineStr">
        <is>
          <t>Sessions created only on explicit user login action; no passive session creation.</t>
        </is>
      </c>
      <c r="H26" s="52" t="n"/>
    </row>
  </sheetData>
  <conditionalFormatting sqref="F2:F2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2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H18"/>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V8.1</t>
        </is>
      </c>
      <c r="B2" s="44" t="inlineStr">
        <is>
          <t>Authorization Documentation</t>
        </is>
      </c>
      <c r="C2" s="44" t="n"/>
      <c r="D2" s="44" t="n"/>
      <c r="E2" s="44" t="n"/>
      <c r="F2" s="44" t="n"/>
      <c r="G2" s="44" t="n"/>
      <c r="H2" s="44" t="n"/>
    </row>
    <row r="3" ht="30" customHeight="1" s="28">
      <c r="A3" s="45" t="inlineStr">
        <is>
          <t>V8.1</t>
        </is>
      </c>
      <c r="B3" s="45" t="inlineStr">
        <is>
          <t>Authorization Documentation</t>
        </is>
      </c>
      <c r="C3" s="46" t="inlineStr">
        <is>
          <t>V8.1.1</t>
        </is>
      </c>
      <c r="D3" s="47" t="inlineStr">
        <is>
          <t>Verify that authorization documentation defines rules for restricting function-level and data-specific access based on consumer permissions and resource attributes.</t>
        </is>
      </c>
      <c r="E3" s="53" t="n">
        <v>1</v>
      </c>
      <c r="F3" s="49" t="inlineStr">
        <is>
          <t>Pending</t>
        </is>
      </c>
      <c r="G3" s="47" t="inlineStr">
        <is>
          <t>SR-AUTHZ-01, SR-AUTHZ-02: RBAC rules for function-level and data-specific access documented in security requirements and RBAC matrix.</t>
        </is>
      </c>
      <c r="H3" s="47" t="n"/>
    </row>
    <row r="4" ht="30" customHeight="1" s="28">
      <c r="A4" s="50" t="inlineStr">
        <is>
          <t>V8.1</t>
        </is>
      </c>
      <c r="B4" s="50" t="inlineStr">
        <is>
          <t>Authorization Documentation</t>
        </is>
      </c>
      <c r="C4" s="51" t="inlineStr">
        <is>
          <t>V8.1.2</t>
        </is>
      </c>
      <c r="D4" s="52" t="inlineStr">
        <is>
          <t>Verify that authorization documentation defines rules for field-level access restrictions (both read and write) based on consumer permissions and resource attributes. Note that these rules might depend on other attribute values of the relevant data object, such as state or status.</t>
        </is>
      </c>
      <c r="E4" s="48" t="n">
        <v>2</v>
      </c>
      <c r="F4" s="49" t="inlineStr">
        <is>
          <t>Pending</t>
        </is>
      </c>
      <c r="G4" s="52" t="inlineStr">
        <is>
          <t>SR-AUTHZ-03 to SR-AUTHZ-06: Field-level access restrictions documented (e.g., role field not user-editable, product visibility by status).</t>
        </is>
      </c>
      <c r="H4" s="52" t="n"/>
    </row>
    <row r="5" ht="30" customHeight="1" s="28">
      <c r="A5" s="45" t="inlineStr">
        <is>
          <t>V8.1</t>
        </is>
      </c>
      <c r="B5" s="45" t="inlineStr">
        <is>
          <t>Authorization Documentation</t>
        </is>
      </c>
      <c r="C5" s="46" t="inlineStr">
        <is>
          <t>V8.1.3</t>
        </is>
      </c>
      <c r="D5" s="47" t="inlineStr">
        <is>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is>
      </c>
      <c r="E5" s="54" t="n">
        <v>3</v>
      </c>
      <c r="F5" s="49" t="inlineStr">
        <is>
          <t>N/A</t>
        </is>
      </c>
      <c r="G5" s="47" t="inlineStr">
        <is>
          <t>No environmental or contextual attributes (IP, time, location) used in authorization decisions.</t>
        </is>
      </c>
      <c r="H5" s="47" t="n"/>
    </row>
    <row r="6" ht="30" customHeight="1" s="28">
      <c r="A6" s="50" t="inlineStr">
        <is>
          <t>V8.1</t>
        </is>
      </c>
      <c r="B6" s="50" t="inlineStr">
        <is>
          <t>Authorization Documentation</t>
        </is>
      </c>
      <c r="C6" s="51" t="inlineStr">
        <is>
          <t>V8.1.4</t>
        </is>
      </c>
      <c r="D6" s="52" t="inlineStr">
        <is>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is>
      </c>
      <c r="E6" s="54" t="n">
        <v>3</v>
      </c>
      <c r="F6" s="49" t="inlineStr">
        <is>
          <t>N/A</t>
        </is>
      </c>
      <c r="G6" s="52" t="inlineStr">
        <is>
          <t>No environmental factors in authorization; RBAC only.</t>
        </is>
      </c>
      <c r="H6" s="52" t="n"/>
    </row>
    <row r="7" ht="18" customHeight="1" s="28">
      <c r="A7" s="44" t="inlineStr">
        <is>
          <t>V8.2</t>
        </is>
      </c>
      <c r="B7" s="44" t="inlineStr">
        <is>
          <t>General Authorization Design</t>
        </is>
      </c>
      <c r="C7" s="44" t="n"/>
      <c r="D7" s="44" t="n"/>
      <c r="E7" s="44" t="n"/>
      <c r="F7" s="44" t="n"/>
      <c r="G7" s="44" t="n"/>
      <c r="H7" s="44" t="n"/>
    </row>
    <row r="8" ht="30" customHeight="1" s="28">
      <c r="A8" s="45" t="inlineStr">
        <is>
          <t>V8.2</t>
        </is>
      </c>
      <c r="B8" s="45" t="inlineStr">
        <is>
          <t>General Authorization Design</t>
        </is>
      </c>
      <c r="C8" s="46" t="inlineStr">
        <is>
          <t>V8.2.1</t>
        </is>
      </c>
      <c r="D8" s="47" t="inlineStr">
        <is>
          <t>Verify that the application ensures that function-level access is restricted to consumers with explicit permissions.</t>
        </is>
      </c>
      <c r="E8" s="53" t="n">
        <v>1</v>
      </c>
      <c r="F8" s="49" t="inlineStr">
        <is>
          <t>Pending</t>
        </is>
      </c>
      <c r="G8" s="47" t="inlineStr">
        <is>
          <t>SR-AUTHZ-01, SR-AUTHZ-02: RBAC enforced at every API endpoint; function-level access restricted by role.</t>
        </is>
      </c>
      <c r="H8" s="47" t="n"/>
    </row>
    <row r="9" ht="30" customHeight="1" s="28">
      <c r="A9" s="50" t="inlineStr">
        <is>
          <t>V8.2</t>
        </is>
      </c>
      <c r="B9" s="50" t="inlineStr">
        <is>
          <t>General Authorization Design</t>
        </is>
      </c>
      <c r="C9" s="51" t="inlineStr">
        <is>
          <t>V8.2.2</t>
        </is>
      </c>
      <c r="D9" s="52" t="inlineStr">
        <is>
          <t>Verify that the application ensures that data-specific access is restricted to consumers with explicit permissions to specific data items to mitigate insecure direct object reference (IDOR) and broken object level authorization (BOLA).</t>
        </is>
      </c>
      <c r="E9" s="53" t="n">
        <v>1</v>
      </c>
      <c r="F9" s="49" t="inlineStr">
        <is>
          <t>Pending</t>
        </is>
      </c>
      <c r="G9" s="52" t="inlineStr">
        <is>
          <t>SR-AUTHZ-04, SR-AUTHZ-05: Resource-level ownership checks enforced; IDOR mitigated via UUID IDs and ownership verification.</t>
        </is>
      </c>
      <c r="H9" s="52" t="n"/>
    </row>
    <row r="10" ht="30" customHeight="1" s="28">
      <c r="A10" s="45" t="inlineStr">
        <is>
          <t>V8.2</t>
        </is>
      </c>
      <c r="B10" s="45" t="inlineStr">
        <is>
          <t>General Authorization Design</t>
        </is>
      </c>
      <c r="C10" s="46" t="inlineStr">
        <is>
          <t>V8.2.3</t>
        </is>
      </c>
      <c r="D10" s="47" t="inlineStr">
        <is>
          <t>Verify that the application ensures that field-level access is restricted to consumers with explicit permissions to specific fields to mitigate broken object property level authorization (BOPLA).</t>
        </is>
      </c>
      <c r="E10" s="48" t="n">
        <v>2</v>
      </c>
      <c r="F10" s="49" t="inlineStr">
        <is>
          <t>Pending</t>
        </is>
      </c>
      <c r="G10" s="47" t="inlineStr">
        <is>
          <t>SR-AUTHZ-03: Role field not user-editable; field-level access restriction enforced.</t>
        </is>
      </c>
      <c r="H10" s="47" t="n"/>
    </row>
    <row r="11" ht="30" customHeight="1" s="28">
      <c r="A11" s="50" t="inlineStr">
        <is>
          <t>V8.2</t>
        </is>
      </c>
      <c r="B11" s="50" t="inlineStr">
        <is>
          <t>General Authorization Design</t>
        </is>
      </c>
      <c r="C11" s="51" t="inlineStr">
        <is>
          <t>V8.2.4</t>
        </is>
      </c>
      <c r="D11" s="52" t="inlineStr">
        <is>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is>
      </c>
      <c r="E11" s="54" t="n">
        <v>3</v>
      </c>
      <c r="F11" s="49" t="inlineStr">
        <is>
          <t>N/A</t>
        </is>
      </c>
      <c r="G11" s="52" t="inlineStr">
        <is>
          <t>Adaptive security controls based on environmental attributes not implemented.</t>
        </is>
      </c>
      <c r="H11" s="52" t="n"/>
    </row>
    <row r="12" ht="18" customHeight="1" s="28">
      <c r="A12" s="44" t="inlineStr">
        <is>
          <t>V8.3</t>
        </is>
      </c>
      <c r="B12" s="44" t="inlineStr">
        <is>
          <t>Operation Level Authorization</t>
        </is>
      </c>
      <c r="C12" s="44" t="n"/>
      <c r="D12" s="44" t="n"/>
      <c r="E12" s="44" t="n"/>
      <c r="F12" s="44" t="n"/>
      <c r="G12" s="44" t="n"/>
      <c r="H12" s="44" t="n"/>
    </row>
    <row r="13" ht="30" customHeight="1" s="28">
      <c r="A13" s="45" t="inlineStr">
        <is>
          <t>V8.3</t>
        </is>
      </c>
      <c r="B13" s="45" t="inlineStr">
        <is>
          <t>Operation Level Authorization</t>
        </is>
      </c>
      <c r="C13" s="46" t="inlineStr">
        <is>
          <t>V8.3.1</t>
        </is>
      </c>
      <c r="D13" s="47" t="inlineStr">
        <is>
          <t>Verify that the application enforces authorization rules at a trusted service layer and doesn't rely on controls that an untrusted consumer could manipulate, such as client-side JavaScript.</t>
        </is>
      </c>
      <c r="E13" s="53" t="n">
        <v>1</v>
      </c>
      <c r="F13" s="49" t="inlineStr">
        <is>
          <t>Pending</t>
        </is>
      </c>
      <c r="G13" s="47" t="inlineStr">
        <is>
          <t>SR-AUTHZ-02: All authorization enforced server-side in middleware and service layer; no client-side controls.</t>
        </is>
      </c>
      <c r="H13" s="47" t="n"/>
    </row>
    <row r="14" ht="30" customHeight="1" s="28">
      <c r="A14" s="50" t="inlineStr">
        <is>
          <t>V8.3</t>
        </is>
      </c>
      <c r="B14" s="50" t="inlineStr">
        <is>
          <t>Operation Level Authorization</t>
        </is>
      </c>
      <c r="C14" s="51" t="inlineStr">
        <is>
          <t>V8.3.2</t>
        </is>
      </c>
      <c r="D14" s="52" t="inlineStr">
        <is>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is>
      </c>
      <c r="E14" s="54" t="n">
        <v>3</v>
      </c>
      <c r="F14" s="49" t="inlineStr">
        <is>
          <t>Pending</t>
        </is>
      </c>
      <c r="G14" s="52" t="inlineStr">
        <is>
          <t>SR-AUTH-05: Short-lived 15-minute access tokens ensure authorization changes take effect within one token lifetime.</t>
        </is>
      </c>
      <c r="H14" s="52" t="n"/>
    </row>
    <row r="15" ht="30" customHeight="1" s="28">
      <c r="A15" s="45" t="inlineStr">
        <is>
          <t>V8.3</t>
        </is>
      </c>
      <c r="B15" s="45" t="inlineStr">
        <is>
          <t>Operation Level Authorization</t>
        </is>
      </c>
      <c r="C15" s="46" t="inlineStr">
        <is>
          <t>V8.3.3</t>
        </is>
      </c>
      <c r="D15" s="47" t="inlineStr">
        <is>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is>
      </c>
      <c r="E15" s="54" t="n">
        <v>3</v>
      </c>
      <c r="F15" s="49" t="inlineStr">
        <is>
          <t>Pending</t>
        </is>
      </c>
      <c r="G15" s="47" t="inlineStr">
        <is>
          <t>JWT contains user identity; service uses requester's token for all authorization decisions.</t>
        </is>
      </c>
      <c r="H15" s="47" t="n"/>
    </row>
    <row r="16" ht="18" customHeight="1" s="28">
      <c r="A16" s="44" t="inlineStr">
        <is>
          <t>V8.4</t>
        </is>
      </c>
      <c r="B16" s="44" t="inlineStr">
        <is>
          <t>Other Authorization Considerations</t>
        </is>
      </c>
      <c r="C16" s="44" t="n"/>
      <c r="D16" s="44" t="n"/>
      <c r="E16" s="44" t="n"/>
      <c r="F16" s="44" t="n"/>
      <c r="G16" s="44" t="n"/>
      <c r="H16" s="44" t="n"/>
    </row>
    <row r="17" ht="30" customHeight="1" s="28">
      <c r="A17" s="45" t="inlineStr">
        <is>
          <t>V8.4</t>
        </is>
      </c>
      <c r="B17" s="45" t="inlineStr">
        <is>
          <t>Other Authorization Considerations</t>
        </is>
      </c>
      <c r="C17" s="46" t="inlineStr">
        <is>
          <t>V8.4.1</t>
        </is>
      </c>
      <c r="D17" s="47" t="inlineStr">
        <is>
          <t>Verify that multi-tenant applications use cross-tenant controls to ensure consumer operations will never affect tenants with which they do not have permissions to interact.</t>
        </is>
      </c>
      <c r="E17" s="48" t="n">
        <v>2</v>
      </c>
      <c r="F17" s="49" t="inlineStr">
        <is>
          <t>N/A</t>
        </is>
      </c>
      <c r="G17" s="47" t="inlineStr">
        <is>
          <t>Single-tenant marketplace; no multi-tenancy isolation requirements.</t>
        </is>
      </c>
      <c r="H17" s="47" t="n"/>
    </row>
    <row r="18" ht="30" customHeight="1" s="28">
      <c r="A18" s="50" t="inlineStr">
        <is>
          <t>V8.4</t>
        </is>
      </c>
      <c r="B18" s="50" t="inlineStr">
        <is>
          <t>Other Authorization Considerations</t>
        </is>
      </c>
      <c r="C18" s="51" t="inlineStr">
        <is>
          <t>V8.4.2</t>
        </is>
      </c>
      <c r="D18" s="52" t="inlineStr">
        <is>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is>
      </c>
      <c r="E18" s="54" t="n">
        <v>3</v>
      </c>
      <c r="F18" s="49" t="inlineStr">
        <is>
          <t>N/A</t>
        </is>
      </c>
      <c r="G18" s="52" t="inlineStr">
        <is>
          <t>Administrative interface security beyond RBAC not implemented in Phase 1.</t>
        </is>
      </c>
      <c r="H18" s="52" t="n"/>
    </row>
  </sheetData>
  <conditionalFormatting sqref="F2:F18">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8"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H10"/>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V9.1</t>
        </is>
      </c>
      <c r="B2" s="44" t="inlineStr">
        <is>
          <t>Token source and integrity</t>
        </is>
      </c>
      <c r="C2" s="44" t="n"/>
      <c r="D2" s="44" t="n"/>
      <c r="E2" s="44" t="n"/>
      <c r="F2" s="44" t="n"/>
      <c r="G2" s="44" t="n"/>
      <c r="H2" s="44" t="n"/>
    </row>
    <row r="3" ht="30" customHeight="1" s="28">
      <c r="A3" s="45" t="inlineStr">
        <is>
          <t>V9.1</t>
        </is>
      </c>
      <c r="B3" s="45" t="inlineStr">
        <is>
          <t>Token source and integrity</t>
        </is>
      </c>
      <c r="C3" s="46" t="inlineStr">
        <is>
          <t>V9.1.1</t>
        </is>
      </c>
      <c r="D3" s="47" t="inlineStr">
        <is>
          <t>Verify that self-contained tokens are validated using their digital signature or MAC to protect against tampering before accepting the token's contents.</t>
        </is>
      </c>
      <c r="E3" s="53" t="n">
        <v>1</v>
      </c>
      <c r="F3" s="49" t="inlineStr">
        <is>
          <t>Pending</t>
        </is>
      </c>
      <c r="G3" s="47" t="inlineStr">
        <is>
          <t>SR-AUTH-06: JWT signature validated using HS256/RS256 before accepting token contents.</t>
        </is>
      </c>
      <c r="H3" s="47" t="n"/>
    </row>
    <row r="4" ht="30" customHeight="1" s="28">
      <c r="A4" s="50" t="inlineStr">
        <is>
          <t>V9.1</t>
        </is>
      </c>
      <c r="B4" s="50" t="inlineStr">
        <is>
          <t>Token source and integrity</t>
        </is>
      </c>
      <c r="C4" s="51" t="inlineStr">
        <is>
          <t>V9.1.2</t>
        </is>
      </c>
      <c r="D4" s="52" t="inlineStr">
        <is>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is>
      </c>
      <c r="E4" s="53" t="n">
        <v>1</v>
      </c>
      <c r="F4" s="49" t="inlineStr">
        <is>
          <t>Pending</t>
        </is>
      </c>
      <c r="G4" s="52" t="inlineStr">
        <is>
          <t>SR-AUTH-06: Only HS256 or RS256 permitted; 'none' algorithm explicitly rejected.</t>
        </is>
      </c>
      <c r="H4" s="52" t="n"/>
    </row>
    <row r="5" ht="30" customHeight="1" s="28">
      <c r="A5" s="45" t="inlineStr">
        <is>
          <t>V9.1</t>
        </is>
      </c>
      <c r="B5" s="45" t="inlineStr">
        <is>
          <t>Token source and integrity</t>
        </is>
      </c>
      <c r="C5" s="46" t="inlineStr">
        <is>
          <t>V9.1.3</t>
        </is>
      </c>
      <c r="D5" s="47" t="inlineStr">
        <is>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is>
      </c>
      <c r="E5" s="53" t="n">
        <v>1</v>
      </c>
      <c r="F5" s="49" t="inlineStr">
        <is>
          <t>Pending</t>
        </is>
      </c>
      <c r="G5" s="47" t="inlineStr">
        <is>
          <t>SR-AUTH-06: Signing secret loaded from environment variables only; no dynamic key source headers accepted.</t>
        </is>
      </c>
      <c r="H5" s="47" t="n"/>
    </row>
    <row r="6" ht="18" customHeight="1" s="28">
      <c r="A6" s="44" t="inlineStr">
        <is>
          <t>V9.2</t>
        </is>
      </c>
      <c r="B6" s="44" t="inlineStr">
        <is>
          <t>Token content</t>
        </is>
      </c>
      <c r="C6" s="44" t="n"/>
      <c r="D6" s="44" t="n"/>
      <c r="E6" s="44" t="n"/>
      <c r="F6" s="44" t="n"/>
      <c r="G6" s="44" t="n"/>
      <c r="H6" s="44" t="n"/>
    </row>
    <row r="7" ht="30" customHeight="1" s="28">
      <c r="A7" s="45" t="inlineStr">
        <is>
          <t>V9.2</t>
        </is>
      </c>
      <c r="B7" s="45" t="inlineStr">
        <is>
          <t>Token content</t>
        </is>
      </c>
      <c r="C7" s="46" t="inlineStr">
        <is>
          <t>V9.2.1</t>
        </is>
      </c>
      <c r="D7" s="47" t="inlineStr">
        <is>
          <t>Verify that, if a validity time span is present in the token data, the token and its content are accepted only if the verification time is within this validity time span. For example, for JWTs, the claims 'nbf' and 'exp' must be verified.</t>
        </is>
      </c>
      <c r="E7" s="53" t="n">
        <v>1</v>
      </c>
      <c r="F7" s="49" t="inlineStr">
        <is>
          <t>Pending</t>
        </is>
      </c>
      <c r="G7" s="47" t="inlineStr">
        <is>
          <t>SR-AUTH-05: JWT exp and nbf claims validated on every request; expired tokens rejected.</t>
        </is>
      </c>
      <c r="H7" s="47" t="n"/>
    </row>
    <row r="8" ht="30" customHeight="1" s="28">
      <c r="A8" s="50" t="inlineStr">
        <is>
          <t>V9.2</t>
        </is>
      </c>
      <c r="B8" s="50" t="inlineStr">
        <is>
          <t>Token content</t>
        </is>
      </c>
      <c r="C8" s="51" t="inlineStr">
        <is>
          <t>V9.2.2</t>
        </is>
      </c>
      <c r="D8" s="52" t="inlineStr">
        <is>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is>
      </c>
      <c r="E8" s="48" t="n">
        <v>2</v>
      </c>
      <c r="F8" s="49" t="inlineStr">
        <is>
          <t>Pending</t>
        </is>
      </c>
      <c r="G8" s="52" t="inlineStr">
        <is>
          <t>Access tokens and refresh tokens are distinguished by type claim; each accepted only for its intended purpose.</t>
        </is>
      </c>
      <c r="H8" s="52" t="n"/>
    </row>
    <row r="9" ht="30" customHeight="1" s="28">
      <c r="A9" s="45" t="inlineStr">
        <is>
          <t>V9.2</t>
        </is>
      </c>
      <c r="B9" s="45" t="inlineStr">
        <is>
          <t>Token content</t>
        </is>
      </c>
      <c r="C9" s="46" t="inlineStr">
        <is>
          <t>V9.2.3</t>
        </is>
      </c>
      <c r="D9" s="47" t="inlineStr">
        <is>
          <t>Verify that the service only accepts tokens which are intended for use with that service (audience). For JWTs, this can be achieved by validating the 'aud' claim against an allowlist defined in the service.</t>
        </is>
      </c>
      <c r="E9" s="48" t="n">
        <v>2</v>
      </c>
      <c r="F9" s="49" t="inlineStr">
        <is>
          <t>N/A</t>
        </is>
      </c>
      <c r="G9" s="47" t="inlineStr">
        <is>
          <t>Single-service deployment; audience restriction not implemented but no cross-service token reuse risk.</t>
        </is>
      </c>
      <c r="H9" s="47" t="n"/>
    </row>
    <row r="10" ht="30" customHeight="1" s="28">
      <c r="A10" s="50" t="inlineStr">
        <is>
          <t>V9.2</t>
        </is>
      </c>
      <c r="B10" s="50" t="inlineStr">
        <is>
          <t>Token content</t>
        </is>
      </c>
      <c r="C10" s="51" t="inlineStr">
        <is>
          <t>V9.2.4</t>
        </is>
      </c>
      <c r="D10" s="52" t="inlineStr">
        <is>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is>
      </c>
      <c r="E10" s="48" t="n">
        <v>2</v>
      </c>
      <c r="F10" s="49" t="inlineStr">
        <is>
          <t>N/A</t>
        </is>
      </c>
      <c r="G10" s="52" t="inlineStr">
        <is>
          <t>Single issuer and single audience; audience uniqueness requirement not applicable.</t>
        </is>
      </c>
      <c r="H10" s="52" t="n"/>
    </row>
  </sheetData>
  <conditionalFormatting sqref="F2:F10">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0"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H44"/>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V10.1</t>
        </is>
      </c>
      <c r="B2" s="44" t="inlineStr">
        <is>
          <t>Generic OAuth and OIDC Security</t>
        </is>
      </c>
      <c r="C2" s="44" t="n"/>
      <c r="D2" s="44" t="n"/>
      <c r="E2" s="44" t="n"/>
      <c r="F2" s="44" t="n"/>
      <c r="G2" s="44" t="n"/>
      <c r="H2" s="44" t="n"/>
    </row>
    <row r="3" ht="30" customHeight="1" s="28">
      <c r="A3" s="45" t="inlineStr">
        <is>
          <t>V10.1</t>
        </is>
      </c>
      <c r="B3" s="45" t="inlineStr">
        <is>
          <t>Generic OAuth and OIDC Security</t>
        </is>
      </c>
      <c r="C3" s="46" t="inlineStr">
        <is>
          <t>V10.1.1</t>
        </is>
      </c>
      <c r="D3" s="47" t="inlineStr">
        <is>
          <t>Verify that tokens are only sent to components that strictly need them. For example, when using a backend-for-frontend pattern for browser-based JavaScript applications, access and refresh tokens shall only be accessible for the backend.</t>
        </is>
      </c>
      <c r="E3" s="48" t="n">
        <v>2</v>
      </c>
      <c r="F3" s="49" t="inlineStr">
        <is>
          <t>N/A</t>
        </is>
      </c>
      <c r="G3" s="47" t="inlineStr">
        <is>
          <t>SecureMarket uses custom JWT authentication, not OAuth/OIDC.</t>
        </is>
      </c>
      <c r="H3" s="47" t="n"/>
    </row>
    <row r="4" ht="30" customHeight="1" s="28">
      <c r="A4" s="50" t="inlineStr">
        <is>
          <t>V10.1</t>
        </is>
      </c>
      <c r="B4" s="50" t="inlineStr">
        <is>
          <t>Generic OAuth and OIDC Security</t>
        </is>
      </c>
      <c r="C4" s="51" t="inlineStr">
        <is>
          <t>V10.1.2</t>
        </is>
      </c>
      <c r="D4" s="52" t="inlineStr">
        <is>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is>
      </c>
      <c r="E4" s="48" t="n">
        <v>2</v>
      </c>
      <c r="F4" s="49" t="inlineStr">
        <is>
          <t>N/A</t>
        </is>
      </c>
      <c r="G4" s="52" t="inlineStr">
        <is>
          <t>No OAuth/OIDC authorization flow implemented.</t>
        </is>
      </c>
      <c r="H4" s="52" t="n"/>
    </row>
    <row r="5" ht="18" customHeight="1" s="28">
      <c r="A5" s="44" t="inlineStr">
        <is>
          <t>V10.2</t>
        </is>
      </c>
      <c r="B5" s="44" t="inlineStr">
        <is>
          <t>OAuth Client</t>
        </is>
      </c>
      <c r="C5" s="44" t="n"/>
      <c r="D5" s="44" t="n"/>
      <c r="E5" s="44" t="n"/>
      <c r="F5" s="44" t="n"/>
      <c r="G5" s="44" t="n"/>
      <c r="H5" s="44" t="n"/>
    </row>
    <row r="6" ht="30" customHeight="1" s="28">
      <c r="A6" s="45" t="inlineStr">
        <is>
          <t>V10.2</t>
        </is>
      </c>
      <c r="B6" s="45" t="inlineStr">
        <is>
          <t>OAuth Client</t>
        </is>
      </c>
      <c r="C6" s="46" t="inlineStr">
        <is>
          <t>V10.2.1</t>
        </is>
      </c>
      <c r="D6" s="47" t="inlineStr">
        <is>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is>
      </c>
      <c r="E6" s="48" t="n">
        <v>2</v>
      </c>
      <c r="F6" s="49" t="inlineStr">
        <is>
          <t>N/A</t>
        </is>
      </c>
      <c r="G6" s="47" t="inlineStr">
        <is>
          <t>No OAuth client; custom authentication only.</t>
        </is>
      </c>
      <c r="H6" s="47" t="n"/>
    </row>
    <row r="7" ht="30" customHeight="1" s="28">
      <c r="A7" s="50" t="inlineStr">
        <is>
          <t>V10.2</t>
        </is>
      </c>
      <c r="B7" s="50" t="inlineStr">
        <is>
          <t>OAuth Client</t>
        </is>
      </c>
      <c r="C7" s="51" t="inlineStr">
        <is>
          <t>V10.2.2</t>
        </is>
      </c>
      <c r="D7" s="52" t="inlineStr">
        <is>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is>
      </c>
      <c r="E7" s="48" t="n">
        <v>2</v>
      </c>
      <c r="F7" s="49" t="inlineStr">
        <is>
          <t>N/A</t>
        </is>
      </c>
      <c r="G7" s="52" t="inlineStr">
        <is>
          <t>No OAuth client; single authentication system.</t>
        </is>
      </c>
      <c r="H7" s="52" t="n"/>
    </row>
    <row r="8" ht="30" customHeight="1" s="28">
      <c r="A8" s="45" t="inlineStr">
        <is>
          <t>V10.2</t>
        </is>
      </c>
      <c r="B8" s="45" t="inlineStr">
        <is>
          <t>OAuth Client</t>
        </is>
      </c>
      <c r="C8" s="46" t="inlineStr">
        <is>
          <t>V10.2.3</t>
        </is>
      </c>
      <c r="D8" s="47" t="inlineStr">
        <is>
          <t>Verify that the OAuth client only requests the required scopes (or other authorization parameters) in requests to the authorization server.</t>
        </is>
      </c>
      <c r="E8" s="54" t="n">
        <v>3</v>
      </c>
      <c r="F8" s="49" t="inlineStr">
        <is>
          <t>N/A</t>
        </is>
      </c>
      <c r="G8" s="47" t="inlineStr">
        <is>
          <t>No OAuth scopes; RBAC used instead.</t>
        </is>
      </c>
      <c r="H8" s="47" t="n"/>
    </row>
    <row r="9" ht="18" customHeight="1" s="28">
      <c r="A9" s="44" t="inlineStr">
        <is>
          <t>V10.3</t>
        </is>
      </c>
      <c r="B9" s="44" t="inlineStr">
        <is>
          <t>OAuth Resource Server</t>
        </is>
      </c>
      <c r="C9" s="44" t="n"/>
      <c r="D9" s="44" t="n"/>
      <c r="E9" s="44" t="n"/>
      <c r="F9" s="44" t="n"/>
      <c r="G9" s="44" t="n"/>
      <c r="H9" s="44" t="n"/>
    </row>
    <row r="10" ht="30" customHeight="1" s="28">
      <c r="A10" s="45" t="inlineStr">
        <is>
          <t>V10.3</t>
        </is>
      </c>
      <c r="B10" s="45" t="inlineStr">
        <is>
          <t>OAuth Resource Server</t>
        </is>
      </c>
      <c r="C10" s="46" t="inlineStr">
        <is>
          <t>V10.3.1</t>
        </is>
      </c>
      <c r="D10" s="47" t="inlineStr">
        <is>
          <t>Verify that the resource server only accepts access tokens that are intended for use with that service (audience). The audience may be included in a structured access token (such as the 'aud' claim in JWT), or it can be checked using the token introspection endpoint.</t>
        </is>
      </c>
      <c r="E10" s="48" t="n">
        <v>2</v>
      </c>
      <c r="F10" s="49" t="inlineStr">
        <is>
          <t>N/A</t>
        </is>
      </c>
      <c r="G10" s="47" t="inlineStr">
        <is>
          <t>No OAuth resource server; custom JWT validation.</t>
        </is>
      </c>
      <c r="H10" s="47" t="n"/>
    </row>
    <row r="11" ht="30" customHeight="1" s="28">
      <c r="A11" s="50" t="inlineStr">
        <is>
          <t>V10.3</t>
        </is>
      </c>
      <c r="B11" s="50" t="inlineStr">
        <is>
          <t>OAuth Resource Server</t>
        </is>
      </c>
      <c r="C11" s="51" t="inlineStr">
        <is>
          <t>V10.3.2</t>
        </is>
      </c>
      <c r="D11" s="52" t="inlineStr">
        <is>
          <t>Verify that the resource server enforces authorization decisions based on claims from the access token that define delegated authorization. If claims such as 'sub', 'scope', and 'authorization_details' are present, they must be part of the decision.</t>
        </is>
      </c>
      <c r="E11" s="48" t="n">
        <v>2</v>
      </c>
      <c r="F11" s="49" t="inlineStr">
        <is>
          <t>N/A</t>
        </is>
      </c>
      <c r="G11" s="52" t="inlineStr">
        <is>
          <t>No OAuth; authorization based on JWT claims (role, user_id).</t>
        </is>
      </c>
      <c r="H11" s="52" t="n"/>
    </row>
    <row r="12" ht="30" customHeight="1" s="28">
      <c r="A12" s="45" t="inlineStr">
        <is>
          <t>V10.3</t>
        </is>
      </c>
      <c r="B12" s="45" t="inlineStr">
        <is>
          <t>OAuth Resource Server</t>
        </is>
      </c>
      <c r="C12" s="46" t="inlineStr">
        <is>
          <t>V10.3.3</t>
        </is>
      </c>
      <c r="D12" s="47" t="inlineStr">
        <is>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is>
      </c>
      <c r="E12" s="48" t="n">
        <v>2</v>
      </c>
      <c r="F12" s="49" t="inlineStr">
        <is>
          <t>N/A</t>
        </is>
      </c>
      <c r="G12" s="47" t="inlineStr">
        <is>
          <t>No OAuth; user identified from JWT sub claim.</t>
        </is>
      </c>
      <c r="H12" s="47" t="n"/>
    </row>
    <row r="13" ht="30" customHeight="1" s="28">
      <c r="A13" s="50" t="inlineStr">
        <is>
          <t>V10.3</t>
        </is>
      </c>
      <c r="B13" s="50" t="inlineStr">
        <is>
          <t>OAuth Resource Server</t>
        </is>
      </c>
      <c r="C13" s="51" t="inlineStr">
        <is>
          <t>V10.3.4</t>
        </is>
      </c>
      <c r="D13" s="52" t="inlineStr">
        <is>
          <t>Verify that, if the resource server requires specific authentication strength, methods, or recentness, it verifies that the presented access token satisfies these constraints. For example, if present, using the OIDC 'acr', 'amr' and 'auth_time' claims respectively.</t>
        </is>
      </c>
      <c r="E13" s="48" t="n">
        <v>2</v>
      </c>
      <c r="F13" s="49" t="inlineStr">
        <is>
          <t>N/A</t>
        </is>
      </c>
      <c r="G13" s="52" t="inlineStr">
        <is>
          <t>No OAuth; no acr/amr/auth_time claims.</t>
        </is>
      </c>
      <c r="H13" s="52" t="n"/>
    </row>
    <row r="14" ht="30" customHeight="1" s="28">
      <c r="A14" s="45" t="inlineStr">
        <is>
          <t>V10.3</t>
        </is>
      </c>
      <c r="B14" s="45" t="inlineStr">
        <is>
          <t>OAuth Resource Server</t>
        </is>
      </c>
      <c r="C14" s="46" t="inlineStr">
        <is>
          <t>V10.3.5</t>
        </is>
      </c>
      <c r="D14" s="47" t="inlineStr">
        <is>
          <t>Verify that the resource server prevents the use of stolen access tokens or replay of access tokens (from unauthorized parties) by requiring sender-constrained access tokens, either Mutual TLS for OAuth 2 or OAuth 2 Demonstration of Proof of Possession (DPoP).</t>
        </is>
      </c>
      <c r="E14" s="54" t="n">
        <v>3</v>
      </c>
      <c r="F14" s="49" t="inlineStr">
        <is>
          <t>N/A</t>
        </is>
      </c>
      <c r="G14" s="47" t="inlineStr">
        <is>
          <t>No OAuth; sender-constrained tokens not applicable.</t>
        </is>
      </c>
      <c r="H14" s="47" t="n"/>
    </row>
    <row r="15" ht="18" customHeight="1" s="28">
      <c r="A15" s="44" t="inlineStr">
        <is>
          <t>V10.4</t>
        </is>
      </c>
      <c r="B15" s="44" t="inlineStr">
        <is>
          <t>OAuth Authorization Server</t>
        </is>
      </c>
      <c r="C15" s="44" t="n"/>
      <c r="D15" s="44" t="n"/>
      <c r="E15" s="44" t="n"/>
      <c r="F15" s="44" t="n"/>
      <c r="G15" s="44" t="n"/>
      <c r="H15" s="44" t="n"/>
    </row>
    <row r="16" ht="30" customHeight="1" s="28">
      <c r="A16" s="45" t="inlineStr">
        <is>
          <t>V10.4</t>
        </is>
      </c>
      <c r="B16" s="45" t="inlineStr">
        <is>
          <t>OAuth Authorization Server</t>
        </is>
      </c>
      <c r="C16" s="46" t="inlineStr">
        <is>
          <t>V10.4.1</t>
        </is>
      </c>
      <c r="D16" s="47" t="inlineStr">
        <is>
          <t>Verify that the authorization server validates redirect URIs based on a client-specific allowlist of pre-registered URIs using exact string comparison.</t>
        </is>
      </c>
      <c r="E16" s="53" t="n">
        <v>1</v>
      </c>
      <c r="F16" s="49" t="inlineStr">
        <is>
          <t>N/A</t>
        </is>
      </c>
      <c r="G16" s="47" t="inlineStr">
        <is>
          <t>No OAuth authorization server.</t>
        </is>
      </c>
      <c r="H16" s="47" t="n"/>
    </row>
    <row r="17" ht="30" customHeight="1" s="28">
      <c r="A17" s="50" t="inlineStr">
        <is>
          <t>V10.4</t>
        </is>
      </c>
      <c r="B17" s="50" t="inlineStr">
        <is>
          <t>OAuth Authorization Server</t>
        </is>
      </c>
      <c r="C17" s="51" t="inlineStr">
        <is>
          <t>V10.4.2</t>
        </is>
      </c>
      <c r="D17" s="52" t="inlineStr">
        <is>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is>
      </c>
      <c r="E17" s="53" t="n">
        <v>1</v>
      </c>
      <c r="F17" s="49" t="inlineStr">
        <is>
          <t>N/A</t>
        </is>
      </c>
      <c r="G17" s="52" t="inlineStr">
        <is>
          <t>No authorization codes; direct JWT issuance.</t>
        </is>
      </c>
      <c r="H17" s="52" t="n"/>
    </row>
    <row r="18" ht="30" customHeight="1" s="28">
      <c r="A18" s="45" t="inlineStr">
        <is>
          <t>V10.4</t>
        </is>
      </c>
      <c r="B18" s="45" t="inlineStr">
        <is>
          <t>OAuth Authorization Server</t>
        </is>
      </c>
      <c r="C18" s="46" t="inlineStr">
        <is>
          <t>V10.4.3</t>
        </is>
      </c>
      <c r="D18" s="47" t="inlineStr">
        <is>
          <t>Verify that the authorization code is short-lived. The maximum lifetime can be up to 10 minutes for L1 and L2 applications and up to 1 minute for L3 applications.</t>
        </is>
      </c>
      <c r="E18" s="53" t="n">
        <v>1</v>
      </c>
      <c r="F18" s="49" t="inlineStr">
        <is>
          <t>N/A</t>
        </is>
      </c>
      <c r="G18" s="47" t="inlineStr">
        <is>
          <t>No authorization codes.</t>
        </is>
      </c>
      <c r="H18" s="47" t="n"/>
    </row>
    <row r="19" ht="30" customHeight="1" s="28">
      <c r="A19" s="50" t="inlineStr">
        <is>
          <t>V10.4</t>
        </is>
      </c>
      <c r="B19" s="50" t="inlineStr">
        <is>
          <t>OAuth Authorization Server</t>
        </is>
      </c>
      <c r="C19" s="51" t="inlineStr">
        <is>
          <t>V10.4.4</t>
        </is>
      </c>
      <c r="D19" s="52" t="inlineStr">
        <is>
          <t>Verify that for a given client, the authorization server only allows the usage of grants that this client needs to use. Note that the grants 'token' (Implicit flow) and 'password' (Resource Owner Password Credentials flow) must no longer be used.</t>
        </is>
      </c>
      <c r="E19" s="53" t="n">
        <v>1</v>
      </c>
      <c r="F19" s="49" t="inlineStr">
        <is>
          <t>N/A</t>
        </is>
      </c>
      <c r="G19" s="52" t="inlineStr">
        <is>
          <t>No OAuth grant types.</t>
        </is>
      </c>
      <c r="H19" s="52" t="n"/>
    </row>
    <row r="20" ht="30" customHeight="1" s="28">
      <c r="A20" s="45" t="inlineStr">
        <is>
          <t>V10.4</t>
        </is>
      </c>
      <c r="B20" s="45" t="inlineStr">
        <is>
          <t>OAuth Authorization Server</t>
        </is>
      </c>
      <c r="C20" s="46" t="inlineStr">
        <is>
          <t>V10.4.5</t>
        </is>
      </c>
      <c r="D20" s="47" t="inlineStr">
        <is>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is>
      </c>
      <c r="E20" s="53" t="n">
        <v>1</v>
      </c>
      <c r="F20" s="49" t="inlineStr">
        <is>
          <t>N/A</t>
        </is>
      </c>
      <c r="G20" s="47" t="inlineStr">
        <is>
          <t>No OAuth refresh tokens in OAuth sense; custom refresh token mechanism used.</t>
        </is>
      </c>
      <c r="H20" s="47" t="n"/>
    </row>
    <row r="21" ht="30" customHeight="1" s="28">
      <c r="A21" s="50" t="inlineStr">
        <is>
          <t>V10.4</t>
        </is>
      </c>
      <c r="B21" s="50" t="inlineStr">
        <is>
          <t>OAuth Authorization Server</t>
        </is>
      </c>
      <c r="C21" s="51" t="inlineStr">
        <is>
          <t>V10.4.6</t>
        </is>
      </c>
      <c r="D21" s="52" t="inlineStr">
        <is>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is>
      </c>
      <c r="E21" s="48" t="n">
        <v>2</v>
      </c>
      <c r="F21" s="49" t="inlineStr">
        <is>
          <t>N/A</t>
        </is>
      </c>
      <c r="G21" s="52" t="inlineStr">
        <is>
          <t>No PKCE; not an OAuth implementation.</t>
        </is>
      </c>
      <c r="H21" s="52" t="n"/>
    </row>
    <row r="22" ht="30" customHeight="1" s="28">
      <c r="A22" s="45" t="inlineStr">
        <is>
          <t>V10.4</t>
        </is>
      </c>
      <c r="B22" s="45" t="inlineStr">
        <is>
          <t>OAuth Authorization Server</t>
        </is>
      </c>
      <c r="C22" s="46" t="inlineStr">
        <is>
          <t>V10.4.7</t>
        </is>
      </c>
      <c r="D22" s="47" t="inlineStr">
        <is>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is>
      </c>
      <c r="E22" s="48" t="n">
        <v>2</v>
      </c>
      <c r="F22" s="49" t="inlineStr">
        <is>
          <t>N/A</t>
        </is>
      </c>
      <c r="G22" s="47" t="inlineStr">
        <is>
          <t>No dynamic client registration.</t>
        </is>
      </c>
      <c r="H22" s="47" t="n"/>
    </row>
    <row r="23" ht="30" customHeight="1" s="28">
      <c r="A23" s="50" t="inlineStr">
        <is>
          <t>V10.4</t>
        </is>
      </c>
      <c r="B23" s="50" t="inlineStr">
        <is>
          <t>OAuth Authorization Server</t>
        </is>
      </c>
      <c r="C23" s="51" t="inlineStr">
        <is>
          <t>V10.4.8</t>
        </is>
      </c>
      <c r="D23" s="52" t="inlineStr">
        <is>
          <t>Verify that refresh tokens have an absolute expiration, including if sliding refresh token expiration is applied.</t>
        </is>
      </c>
      <c r="E23" s="48" t="n">
        <v>2</v>
      </c>
      <c r="F23" s="49" t="inlineStr">
        <is>
          <t>N/A</t>
        </is>
      </c>
      <c r="G23" s="52" t="inlineStr">
        <is>
          <t>No OAuth refresh tokens.</t>
        </is>
      </c>
      <c r="H23" s="52" t="n"/>
    </row>
    <row r="24" ht="30" customHeight="1" s="28">
      <c r="A24" s="45" t="inlineStr">
        <is>
          <t>V10.4</t>
        </is>
      </c>
      <c r="B24" s="45" t="inlineStr">
        <is>
          <t>OAuth Authorization Server</t>
        </is>
      </c>
      <c r="C24" s="46" t="inlineStr">
        <is>
          <t>V10.4.9</t>
        </is>
      </c>
      <c r="D24" s="47" t="inlineStr">
        <is>
          <t>Verify that refresh tokens and reference access tokens can be revoked by an authorized user using the authorization server user interface, to mitigate the risk of malicious clients or stolen tokens.</t>
        </is>
      </c>
      <c r="E24" s="48" t="n">
        <v>2</v>
      </c>
      <c r="F24" s="49" t="inlineStr">
        <is>
          <t>N/A</t>
        </is>
      </c>
      <c r="G24" s="47" t="inlineStr">
        <is>
          <t>No OAuth authorization server.</t>
        </is>
      </c>
      <c r="H24" s="47" t="n"/>
    </row>
    <row r="25" ht="30" customHeight="1" s="28">
      <c r="A25" s="50" t="inlineStr">
        <is>
          <t>V10.4</t>
        </is>
      </c>
      <c r="B25" s="50" t="inlineStr">
        <is>
          <t>OAuth Authorization Server</t>
        </is>
      </c>
      <c r="C25" s="51" t="inlineStr">
        <is>
          <t>V10.4.10</t>
        </is>
      </c>
      <c r="D25" s="52" t="inlineStr">
        <is>
          <t>Verify that confidential client is authenticated for client-to-authorized server backchannel requests such as token requests, pushed authorization requests (PAR), and token revocation requests.</t>
        </is>
      </c>
      <c r="E25" s="48" t="n">
        <v>2</v>
      </c>
      <c r="F25" s="49" t="inlineStr">
        <is>
          <t>N/A</t>
        </is>
      </c>
      <c r="G25" s="52" t="inlineStr">
        <is>
          <t>No OAuth confidential clients.</t>
        </is>
      </c>
      <c r="H25" s="52" t="n"/>
    </row>
    <row r="26" ht="30" customHeight="1" s="28">
      <c r="A26" s="45" t="inlineStr">
        <is>
          <t>V10.4</t>
        </is>
      </c>
      <c r="B26" s="45" t="inlineStr">
        <is>
          <t>OAuth Authorization Server</t>
        </is>
      </c>
      <c r="C26" s="46" t="inlineStr">
        <is>
          <t>V10.4.11</t>
        </is>
      </c>
      <c r="D26" s="47" t="inlineStr">
        <is>
          <t>Verify that the authorization server configuration only assigns the required scopes to the OAuth client.</t>
        </is>
      </c>
      <c r="E26" s="48" t="n">
        <v>2</v>
      </c>
      <c r="F26" s="49" t="inlineStr">
        <is>
          <t>N/A</t>
        </is>
      </c>
      <c r="G26" s="47" t="inlineStr">
        <is>
          <t>No OAuth scopes.</t>
        </is>
      </c>
      <c r="H26" s="47" t="n"/>
    </row>
    <row r="27" ht="30" customHeight="1" s="28">
      <c r="A27" s="50" t="inlineStr">
        <is>
          <t>V10.4</t>
        </is>
      </c>
      <c r="B27" s="50" t="inlineStr">
        <is>
          <t>OAuth Authorization Server</t>
        </is>
      </c>
      <c r="C27" s="51" t="inlineStr">
        <is>
          <t>V10.4.12</t>
        </is>
      </c>
      <c r="D27" s="52" t="inlineStr">
        <is>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is>
      </c>
      <c r="E27" s="54" t="n">
        <v>3</v>
      </c>
      <c r="F27" s="49" t="inlineStr">
        <is>
          <t>N/A</t>
        </is>
      </c>
      <c r="G27" s="52" t="inlineStr">
        <is>
          <t>No OAuth response modes.</t>
        </is>
      </c>
      <c r="H27" s="52" t="n"/>
    </row>
    <row r="28" ht="30" customHeight="1" s="28">
      <c r="A28" s="45" t="inlineStr">
        <is>
          <t>V10.4</t>
        </is>
      </c>
      <c r="B28" s="45" t="inlineStr">
        <is>
          <t>OAuth Authorization Server</t>
        </is>
      </c>
      <c r="C28" s="46" t="inlineStr">
        <is>
          <t>V10.4.13</t>
        </is>
      </c>
      <c r="D28" s="47" t="inlineStr">
        <is>
          <t>Verify that grant type 'code' is always used together with pushed authorization requests (PAR).</t>
        </is>
      </c>
      <c r="E28" s="54" t="n">
        <v>3</v>
      </c>
      <c r="F28" s="49" t="inlineStr">
        <is>
          <t>N/A</t>
        </is>
      </c>
      <c r="G28" s="47" t="inlineStr">
        <is>
          <t>No pushed authorization requests.</t>
        </is>
      </c>
      <c r="H28" s="47" t="n"/>
    </row>
    <row r="29" ht="30" customHeight="1" s="28">
      <c r="A29" s="50" t="inlineStr">
        <is>
          <t>V10.4</t>
        </is>
      </c>
      <c r="B29" s="50" t="inlineStr">
        <is>
          <t>OAuth Authorization Server</t>
        </is>
      </c>
      <c r="C29" s="51" t="inlineStr">
        <is>
          <t>V10.4.14</t>
        </is>
      </c>
      <c r="D29" s="52" t="inlineStr">
        <is>
          <t>Verify that the authorization server issues only sender-constrained (Proof-of-Possession) access tokens, either with certificate-bound access tokens using mutual TLS (mTLS) or DPoP-bound access tokens (Demonstration of Proof of Possession).</t>
        </is>
      </c>
      <c r="E29" s="54" t="n">
        <v>3</v>
      </c>
      <c r="F29" s="49" t="inlineStr">
        <is>
          <t>N/A</t>
        </is>
      </c>
      <c r="G29" s="52" t="inlineStr">
        <is>
          <t>No OAuth sender-constrained tokens.</t>
        </is>
      </c>
      <c r="H29" s="52" t="n"/>
    </row>
    <row r="30" ht="30" customHeight="1" s="28">
      <c r="A30" s="45" t="inlineStr">
        <is>
          <t>V10.4</t>
        </is>
      </c>
      <c r="B30" s="45" t="inlineStr">
        <is>
          <t>OAuth Authorization Server</t>
        </is>
      </c>
      <c r="C30" s="46" t="inlineStr">
        <is>
          <t>V10.4.15</t>
        </is>
      </c>
      <c r="D30" s="47" t="inlineStr">
        <is>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is>
      </c>
      <c r="E30" s="54" t="n">
        <v>3</v>
      </c>
      <c r="F30" s="49" t="inlineStr">
        <is>
          <t>N/A</t>
        </is>
      </c>
      <c r="G30" s="47" t="inlineStr">
        <is>
          <t>No OAuth authorization_details parameter.</t>
        </is>
      </c>
      <c r="H30" s="47" t="n"/>
    </row>
    <row r="31" ht="30" customHeight="1" s="28">
      <c r="A31" s="50" t="inlineStr">
        <is>
          <t>V10.4</t>
        </is>
      </c>
      <c r="B31" s="50" t="inlineStr">
        <is>
          <t>OAuth Authorization Server</t>
        </is>
      </c>
      <c r="C31" s="51" t="inlineStr">
        <is>
          <t>V10.4.16</t>
        </is>
      </c>
      <c r="D31" s="52" t="inlineStr">
        <is>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is>
      </c>
      <c r="E31" s="54" t="n">
        <v>3</v>
      </c>
      <c r="F31" s="49" t="inlineStr">
        <is>
          <t>N/A</t>
        </is>
      </c>
      <c r="G31" s="52" t="inlineStr">
        <is>
          <t>No OAuth confidential clients.</t>
        </is>
      </c>
      <c r="H31" s="52" t="n"/>
    </row>
    <row r="32" ht="18" customHeight="1" s="28">
      <c r="A32" s="44" t="inlineStr">
        <is>
          <t>V10.5</t>
        </is>
      </c>
      <c r="B32" s="44" t="inlineStr">
        <is>
          <t>OIDC Client</t>
        </is>
      </c>
      <c r="C32" s="44" t="n"/>
      <c r="D32" s="44" t="n"/>
      <c r="E32" s="44" t="n"/>
      <c r="F32" s="44" t="n"/>
      <c r="G32" s="44" t="n"/>
      <c r="H32" s="44" t="n"/>
    </row>
    <row r="33" ht="30" customHeight="1" s="28">
      <c r="A33" s="45" t="inlineStr">
        <is>
          <t>V10.5</t>
        </is>
      </c>
      <c r="B33" s="45" t="inlineStr">
        <is>
          <t>OIDC Client</t>
        </is>
      </c>
      <c r="C33" s="46" t="inlineStr">
        <is>
          <t>V10.5.1</t>
        </is>
      </c>
      <c r="D33" s="47" t="inlineStr">
        <is>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is>
      </c>
      <c r="E33" s="48" t="n">
        <v>2</v>
      </c>
      <c r="F33" s="49" t="inlineStr">
        <is>
          <t>N/A</t>
        </is>
      </c>
      <c r="G33" s="47" t="inlineStr">
        <is>
          <t>No OIDC implemented.</t>
        </is>
      </c>
      <c r="H33" s="47" t="n"/>
    </row>
    <row r="34" ht="30" customHeight="1" s="28">
      <c r="A34" s="50" t="inlineStr">
        <is>
          <t>V10.5</t>
        </is>
      </c>
      <c r="B34" s="50" t="inlineStr">
        <is>
          <t>OIDC Client</t>
        </is>
      </c>
      <c r="C34" s="51" t="inlineStr">
        <is>
          <t>V10.5.2</t>
        </is>
      </c>
      <c r="D34" s="52" t="inlineStr">
        <is>
          <t>Verify that the client uniquely identifies the user from ID Token claims, usually the 'sub' claim, which cannot be reassigned to other users (for the scope of an identity provider).</t>
        </is>
      </c>
      <c r="E34" s="48" t="n">
        <v>2</v>
      </c>
      <c r="F34" s="49" t="inlineStr">
        <is>
          <t>N/A</t>
        </is>
      </c>
      <c r="G34" s="52" t="inlineStr">
        <is>
          <t>No OIDC implemented.</t>
        </is>
      </c>
      <c r="H34" s="52" t="n"/>
    </row>
    <row r="35" ht="30" customHeight="1" s="28">
      <c r="A35" s="45" t="inlineStr">
        <is>
          <t>V10.5</t>
        </is>
      </c>
      <c r="B35" s="45" t="inlineStr">
        <is>
          <t>OIDC Client</t>
        </is>
      </c>
      <c r="C35" s="46" t="inlineStr">
        <is>
          <t>V10.5.3</t>
        </is>
      </c>
      <c r="D35" s="47" t="inlineStr">
        <is>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is>
      </c>
      <c r="E35" s="48" t="n">
        <v>2</v>
      </c>
      <c r="F35" s="49" t="inlineStr">
        <is>
          <t>N/A</t>
        </is>
      </c>
      <c r="G35" s="47" t="inlineStr">
        <is>
          <t>No OIDC implemented.</t>
        </is>
      </c>
      <c r="H35" s="47" t="n"/>
    </row>
    <row r="36" ht="30" customHeight="1" s="28">
      <c r="A36" s="50" t="inlineStr">
        <is>
          <t>V10.5</t>
        </is>
      </c>
      <c r="B36" s="50" t="inlineStr">
        <is>
          <t>OIDC Client</t>
        </is>
      </c>
      <c r="C36" s="51" t="inlineStr">
        <is>
          <t>V10.5.4</t>
        </is>
      </c>
      <c r="D36" s="52" t="inlineStr">
        <is>
          <t>Verify that the client validates that the ID Token is intended to be used for that client (audience) by checking that the 'aud' claim from the token is equal to the 'client_id' value for the client.</t>
        </is>
      </c>
      <c r="E36" s="48" t="n">
        <v>2</v>
      </c>
      <c r="F36" s="49" t="inlineStr">
        <is>
          <t>N/A</t>
        </is>
      </c>
      <c r="G36" s="52" t="inlineStr">
        <is>
          <t>No OIDC implemented.</t>
        </is>
      </c>
      <c r="H36" s="52" t="n"/>
    </row>
    <row r="37" ht="30" customHeight="1" s="28">
      <c r="A37" s="45" t="inlineStr">
        <is>
          <t>V10.5</t>
        </is>
      </c>
      <c r="B37" s="45" t="inlineStr">
        <is>
          <t>OIDC Client</t>
        </is>
      </c>
      <c r="C37" s="46" t="inlineStr">
        <is>
          <t>V10.5.5</t>
        </is>
      </c>
      <c r="D37" s="47" t="inlineStr">
        <is>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is>
      </c>
      <c r="E37" s="48" t="n">
        <v>2</v>
      </c>
      <c r="F37" s="49" t="inlineStr">
        <is>
          <t>N/A</t>
        </is>
      </c>
      <c r="G37" s="47" t="inlineStr">
        <is>
          <t>No OIDC back-channel logout.</t>
        </is>
      </c>
      <c r="H37" s="47" t="n"/>
    </row>
    <row r="38" ht="18" customHeight="1" s="28">
      <c r="A38" s="44" t="inlineStr">
        <is>
          <t>V10.6</t>
        </is>
      </c>
      <c r="B38" s="44" t="inlineStr">
        <is>
          <t>OpenID Provider</t>
        </is>
      </c>
      <c r="C38" s="44" t="n"/>
      <c r="D38" s="44" t="n"/>
      <c r="E38" s="44" t="n"/>
      <c r="F38" s="44" t="n"/>
      <c r="G38" s="44" t="n"/>
      <c r="H38" s="44" t="n"/>
    </row>
    <row r="39" ht="30" customHeight="1" s="28">
      <c r="A39" s="45" t="inlineStr">
        <is>
          <t>V10.6</t>
        </is>
      </c>
      <c r="B39" s="45" t="inlineStr">
        <is>
          <t>OpenID Provider</t>
        </is>
      </c>
      <c r="C39" s="46" t="inlineStr">
        <is>
          <t>V10.6.1</t>
        </is>
      </c>
      <c r="D39" s="47" t="inlineStr">
        <is>
          <t>Verify that the OpenID Provider only allows values 'code', 'ciba', 'id_token', or 'id_token code' for response mode. Note that 'code' is preferred over 'id_token code' (the OIDC Hybrid flow), and 'token' (any Implicit flow) must not be used.</t>
        </is>
      </c>
      <c r="E39" s="48" t="n">
        <v>2</v>
      </c>
      <c r="F39" s="49" t="inlineStr">
        <is>
          <t>N/A</t>
        </is>
      </c>
      <c r="G39" s="47" t="inlineStr">
        <is>
          <t>No OpenID Provider.</t>
        </is>
      </c>
      <c r="H39" s="47" t="n"/>
    </row>
    <row r="40" ht="30" customHeight="1" s="28">
      <c r="A40" s="50" t="inlineStr">
        <is>
          <t>V10.6</t>
        </is>
      </c>
      <c r="B40" s="50" t="inlineStr">
        <is>
          <t>OpenID Provider</t>
        </is>
      </c>
      <c r="C40" s="51" t="inlineStr">
        <is>
          <t>V10.6.2</t>
        </is>
      </c>
      <c r="D40" s="52" t="inlineStr">
        <is>
          <t>Verify that the OpenID Provider mitigates denial of service through forced logout. By obtaining explicit confirmation from the end-user or, if present, validating parameters in the logout request (initiated by the relying party), such as the 'id_token_hint'.</t>
        </is>
      </c>
      <c r="E40" s="48" t="n">
        <v>2</v>
      </c>
      <c r="F40" s="49" t="inlineStr">
        <is>
          <t>N/A</t>
        </is>
      </c>
      <c r="G40" s="52" t="inlineStr">
        <is>
          <t>No OpenID Provider.</t>
        </is>
      </c>
      <c r="H40" s="52" t="n"/>
    </row>
    <row r="41" ht="18" customHeight="1" s="28">
      <c r="A41" s="44" t="inlineStr">
        <is>
          <t>V10.7</t>
        </is>
      </c>
      <c r="B41" s="44" t="inlineStr">
        <is>
          <t>Consent Management</t>
        </is>
      </c>
      <c r="C41" s="44" t="n"/>
      <c r="D41" s="44" t="n"/>
      <c r="E41" s="44" t="n"/>
      <c r="F41" s="44" t="n"/>
      <c r="G41" s="44" t="n"/>
      <c r="H41" s="44" t="n"/>
    </row>
    <row r="42" ht="30" customHeight="1" s="28">
      <c r="A42" s="45" t="inlineStr">
        <is>
          <t>V10.7</t>
        </is>
      </c>
      <c r="B42" s="45" t="inlineStr">
        <is>
          <t>Consent Management</t>
        </is>
      </c>
      <c r="C42" s="46" t="inlineStr">
        <is>
          <t>V10.7.1</t>
        </is>
      </c>
      <c r="D42" s="47" t="inlineStr">
        <is>
          <t>Verify that the authorization server ensures that the user consents to each authorization request. If the identity of the client cannot be assured, the authorization server must always explicitly prompt the user for consent.</t>
        </is>
      </c>
      <c r="E42" s="48" t="n">
        <v>2</v>
      </c>
      <c r="F42" s="49" t="inlineStr">
        <is>
          <t>N/A</t>
        </is>
      </c>
      <c r="G42" s="47" t="inlineStr">
        <is>
          <t>No OAuth consent management.</t>
        </is>
      </c>
      <c r="H42" s="47" t="n"/>
    </row>
    <row r="43" ht="30" customHeight="1" s="28">
      <c r="A43" s="50" t="inlineStr">
        <is>
          <t>V10.7</t>
        </is>
      </c>
      <c r="B43" s="50" t="inlineStr">
        <is>
          <t>Consent Management</t>
        </is>
      </c>
      <c r="C43" s="51" t="inlineStr">
        <is>
          <t>V10.7.2</t>
        </is>
      </c>
      <c r="D43" s="52" t="inlineStr">
        <is>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is>
      </c>
      <c r="E43" s="48" t="n">
        <v>2</v>
      </c>
      <c r="F43" s="49" t="inlineStr">
        <is>
          <t>N/A</t>
        </is>
      </c>
      <c r="G43" s="52" t="inlineStr">
        <is>
          <t>No OAuth consent management.</t>
        </is>
      </c>
      <c r="H43" s="52" t="n"/>
    </row>
    <row r="44" ht="30" customHeight="1" s="28">
      <c r="A44" s="45" t="inlineStr">
        <is>
          <t>V10.7</t>
        </is>
      </c>
      <c r="B44" s="45" t="inlineStr">
        <is>
          <t>Consent Management</t>
        </is>
      </c>
      <c r="C44" s="46" t="inlineStr">
        <is>
          <t>V10.7.3</t>
        </is>
      </c>
      <c r="D44" s="47" t="inlineStr">
        <is>
          <t>Verify that the user can review, modify, and revoke consents which the user has granted through the authorization server.</t>
        </is>
      </c>
      <c r="E44" s="48" t="n">
        <v>2</v>
      </c>
      <c r="F44" s="49" t="inlineStr">
        <is>
          <t>N/A</t>
        </is>
      </c>
      <c r="G44" s="47" t="inlineStr">
        <is>
          <t>No OAuth consent management.</t>
        </is>
      </c>
      <c r="H44" s="47" t="n"/>
    </row>
  </sheetData>
  <conditionalFormatting sqref="F2:F44">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44"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H32"/>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V11.1</t>
        </is>
      </c>
      <c r="B2" s="44" t="inlineStr">
        <is>
          <t>Cryptographic Inventory and Documentation</t>
        </is>
      </c>
      <c r="C2" s="44" t="n"/>
      <c r="D2" s="44" t="n"/>
      <c r="E2" s="44" t="n"/>
      <c r="F2" s="44" t="n"/>
      <c r="G2" s="44" t="n"/>
      <c r="H2" s="44" t="n"/>
    </row>
    <row r="3" ht="30" customHeight="1" s="28">
      <c r="A3" s="45" t="inlineStr">
        <is>
          <t>V11.1</t>
        </is>
      </c>
      <c r="B3" s="45" t="inlineStr">
        <is>
          <t>Cryptographic Inventory and Documentation</t>
        </is>
      </c>
      <c r="C3" s="46" t="inlineStr">
        <is>
          <t>V11.1.1</t>
        </is>
      </c>
      <c r="D3" s="47" t="inlineStr">
        <is>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is>
      </c>
      <c r="E3" s="48" t="n">
        <v>2</v>
      </c>
      <c r="F3" s="49" t="inlineStr">
        <is>
          <t>Pending</t>
        </is>
      </c>
      <c r="G3" s="47" t="inlineStr">
        <is>
          <t>SR-AUTH-06: Key management policy defined; JWT secrets loaded from environment variables only; rotation process documented.</t>
        </is>
      </c>
      <c r="H3" s="47" t="n"/>
    </row>
    <row r="4" ht="30" customHeight="1" s="28">
      <c r="A4" s="50" t="inlineStr">
        <is>
          <t>V11.1</t>
        </is>
      </c>
      <c r="B4" s="50" t="inlineStr">
        <is>
          <t>Cryptographic Inventory and Documentation</t>
        </is>
      </c>
      <c r="C4" s="51" t="inlineStr">
        <is>
          <t>V11.1.2</t>
        </is>
      </c>
      <c r="D4" s="52" t="inlineStr">
        <is>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is>
      </c>
      <c r="E4" s="48" t="n">
        <v>2</v>
      </c>
      <c r="F4" s="49" t="inlineStr">
        <is>
          <t>N/A</t>
        </is>
      </c>
      <c r="G4" s="52" t="inlineStr">
        <is>
          <t>Formal cryptographic inventory not maintained in Phase 1; documented in security requirements.</t>
        </is>
      </c>
      <c r="H4" s="52" t="n"/>
    </row>
    <row r="5" ht="30" customHeight="1" s="28">
      <c r="A5" s="45" t="inlineStr">
        <is>
          <t>V11.1</t>
        </is>
      </c>
      <c r="B5" s="45" t="inlineStr">
        <is>
          <t>Cryptographic Inventory and Documentation</t>
        </is>
      </c>
      <c r="C5" s="46" t="inlineStr">
        <is>
          <t>V11.1.3</t>
        </is>
      </c>
      <c r="D5" s="47" t="inlineStr">
        <is>
          <t>Verify that cryptographic discovery mechanisms are employed to identify all instances of cryptography in the system, including encryption, hashing, and signing operations.</t>
        </is>
      </c>
      <c r="E5" s="54" t="n">
        <v>3</v>
      </c>
      <c r="F5" s="49" t="inlineStr">
        <is>
          <t>N/A</t>
        </is>
      </c>
      <c r="G5" s="47" t="inlineStr">
        <is>
          <t>Automated cryptographic discovery not implemented.</t>
        </is>
      </c>
      <c r="H5" s="47" t="n"/>
    </row>
    <row r="6" ht="30" customHeight="1" s="28">
      <c r="A6" s="50" t="inlineStr">
        <is>
          <t>V11.1</t>
        </is>
      </c>
      <c r="B6" s="50" t="inlineStr">
        <is>
          <t>Cryptographic Inventory and Documentation</t>
        </is>
      </c>
      <c r="C6" s="51" t="inlineStr">
        <is>
          <t>V11.1.4</t>
        </is>
      </c>
      <c r="D6" s="52" t="inlineStr">
        <is>
          <t>Verify that a cryptographic inventory is maintained. This must include a documented plan that outlines the migration path to new cryptographic standards, such as post-quantum cryptography, in order to react to future threats.</t>
        </is>
      </c>
      <c r="E6" s="54" t="n">
        <v>3</v>
      </c>
      <c r="F6" s="49" t="inlineStr">
        <is>
          <t>N/A</t>
        </is>
      </c>
      <c r="G6" s="52" t="inlineStr">
        <is>
          <t>Post-quantum migration plan not applicable for Phase 1.</t>
        </is>
      </c>
      <c r="H6" s="52" t="n"/>
    </row>
    <row r="7" ht="18" customHeight="1" s="28">
      <c r="A7" s="44" t="inlineStr">
        <is>
          <t>V11.2</t>
        </is>
      </c>
      <c r="B7" s="44" t="inlineStr">
        <is>
          <t>Secure Cryptography Implementation</t>
        </is>
      </c>
      <c r="C7" s="44" t="n"/>
      <c r="D7" s="44" t="n"/>
      <c r="E7" s="44" t="n"/>
      <c r="F7" s="44" t="n"/>
      <c r="G7" s="44" t="n"/>
      <c r="H7" s="44" t="n"/>
    </row>
    <row r="8" ht="30" customHeight="1" s="28">
      <c r="A8" s="45" t="inlineStr">
        <is>
          <t>V11.2</t>
        </is>
      </c>
      <c r="B8" s="45" t="inlineStr">
        <is>
          <t>Secure Cryptography Implementation</t>
        </is>
      </c>
      <c r="C8" s="46" t="inlineStr">
        <is>
          <t>V11.2.1</t>
        </is>
      </c>
      <c r="D8" s="47" t="inlineStr">
        <is>
          <t>Verify that industry-validated implementations (including libraries and hardware-accelerated implementations) are used for cryptographic operations.</t>
        </is>
      </c>
      <c r="E8" s="48" t="n">
        <v>2</v>
      </c>
      <c r="F8" s="49" t="inlineStr">
        <is>
          <t>Pending</t>
        </is>
      </c>
      <c r="G8" s="47" t="inlineStr">
        <is>
          <t>bcrypt via passlib, SHA-256 via hashlib, HS256 via python-jose — all industry-standard libraries.</t>
        </is>
      </c>
      <c r="H8" s="47" t="n"/>
    </row>
    <row r="9" ht="30" customHeight="1" s="28">
      <c r="A9" s="50" t="inlineStr">
        <is>
          <t>V11.2</t>
        </is>
      </c>
      <c r="B9" s="50" t="inlineStr">
        <is>
          <t>Secure Cryptography Implementation</t>
        </is>
      </c>
      <c r="C9" s="51" t="inlineStr">
        <is>
          <t>V11.2.2</t>
        </is>
      </c>
      <c r="D9" s="52" t="inlineStr">
        <is>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is>
      </c>
      <c r="E9" s="48" t="n">
        <v>2</v>
      </c>
      <c r="F9" s="49" t="inlineStr">
        <is>
          <t>N/A</t>
        </is>
      </c>
      <c r="G9" s="52" t="inlineStr">
        <is>
          <t>Crypto agility not explicitly designed; algorithm changes require code updates.</t>
        </is>
      </c>
      <c r="H9" s="52" t="n"/>
    </row>
    <row r="10" ht="30" customHeight="1" s="28">
      <c r="A10" s="45" t="inlineStr">
        <is>
          <t>V11.2</t>
        </is>
      </c>
      <c r="B10" s="45" t="inlineStr">
        <is>
          <t>Secure Cryptography Implementation</t>
        </is>
      </c>
      <c r="C10" s="46" t="inlineStr">
        <is>
          <t>V11.2.3</t>
        </is>
      </c>
      <c r="D10" s="47" t="inlineStr">
        <is>
          <t>Verify that all cryptographic primitives utilize a minimum of 128-bits of security based on the algorithm, key size, and configuration. For example, a 256-bit ECC key provides roughly 128 bits of security where RSA requires a 3072-bit key to achieve 128 bits of security.</t>
        </is>
      </c>
      <c r="E10" s="48" t="n">
        <v>2</v>
      </c>
      <c r="F10" s="49" t="inlineStr">
        <is>
          <t>Pending</t>
        </is>
      </c>
      <c r="G10" s="47" t="inlineStr">
        <is>
          <t>SR-AUTH-06: 256-bit minimum secret for HS256 (128-bit security). SHA-256 used for file integrity.</t>
        </is>
      </c>
      <c r="H10" s="47" t="n"/>
    </row>
    <row r="11" ht="30" customHeight="1" s="28">
      <c r="A11" s="50" t="inlineStr">
        <is>
          <t>V11.2</t>
        </is>
      </c>
      <c r="B11" s="50" t="inlineStr">
        <is>
          <t>Secure Cryptography Implementation</t>
        </is>
      </c>
      <c r="C11" s="51" t="inlineStr">
        <is>
          <t>V11.2.4</t>
        </is>
      </c>
      <c r="D11" s="52" t="inlineStr">
        <is>
          <t>Verify that all cryptographic operations are constant-time, with no 'short-circuit' operations in comparisons, calculations, or returns, to avoid leaking information.</t>
        </is>
      </c>
      <c r="E11" s="54" t="n">
        <v>3</v>
      </c>
      <c r="F11" s="49" t="inlineStr">
        <is>
          <t>Pending</t>
        </is>
      </c>
      <c r="G11" s="52" t="inlineStr">
        <is>
          <t>bcrypt.checkpw() performs constant-time comparison to prevent timing attacks.</t>
        </is>
      </c>
      <c r="H11" s="52" t="n"/>
    </row>
    <row r="12" ht="30" customHeight="1" s="28">
      <c r="A12" s="45" t="inlineStr">
        <is>
          <t>V11.2</t>
        </is>
      </c>
      <c r="B12" s="45" t="inlineStr">
        <is>
          <t>Secure Cryptography Implementation</t>
        </is>
      </c>
      <c r="C12" s="46" t="inlineStr">
        <is>
          <t>V11.2.5</t>
        </is>
      </c>
      <c r="D12" s="47" t="inlineStr">
        <is>
          <t>Verify that all cryptographic modules fail securely, and errors are handled in a way that does not enable vulnerabilities, such as Padding Oracle attacks.</t>
        </is>
      </c>
      <c r="E12" s="54" t="n">
        <v>3</v>
      </c>
      <c r="F12" s="49" t="inlineStr">
        <is>
          <t>Pending</t>
        </is>
      </c>
      <c r="G12" s="47" t="inlineStr">
        <is>
          <t>Cryptographic errors caught and return generic error messages per SR-LOG-05.</t>
        </is>
      </c>
      <c r="H12" s="47" t="n"/>
    </row>
    <row r="13" ht="18" customHeight="1" s="28">
      <c r="A13" s="44" t="inlineStr">
        <is>
          <t>V11.3</t>
        </is>
      </c>
      <c r="B13" s="44" t="inlineStr">
        <is>
          <t>Encryption Algorithms</t>
        </is>
      </c>
      <c r="C13" s="44" t="n"/>
      <c r="D13" s="44" t="n"/>
      <c r="E13" s="44" t="n"/>
      <c r="F13" s="44" t="n"/>
      <c r="G13" s="44" t="n"/>
      <c r="H13" s="44" t="n"/>
    </row>
    <row r="14" ht="30" customHeight="1" s="28">
      <c r="A14" s="45" t="inlineStr">
        <is>
          <t>V11.3</t>
        </is>
      </c>
      <c r="B14" s="45" t="inlineStr">
        <is>
          <t>Encryption Algorithms</t>
        </is>
      </c>
      <c r="C14" s="46" t="inlineStr">
        <is>
          <t>V11.3.1</t>
        </is>
      </c>
      <c r="D14" s="47" t="inlineStr">
        <is>
          <t>Verify that insecure block modes (e.g., ECB) and weak padding schemes (e.g., PKCS#1 v1.5) are not used.</t>
        </is>
      </c>
      <c r="E14" s="53" t="n">
        <v>1</v>
      </c>
      <c r="F14" s="49" t="inlineStr">
        <is>
          <t>Pending</t>
        </is>
      </c>
      <c r="G14" s="47" t="inlineStr">
        <is>
          <t>TLS configured with approved cipher suites via Nginx; no ECB or PKCS#1 v1.5 padding used.</t>
        </is>
      </c>
      <c r="H14" s="47" t="n"/>
    </row>
    <row r="15" ht="30" customHeight="1" s="28">
      <c r="A15" s="50" t="inlineStr">
        <is>
          <t>V11.3</t>
        </is>
      </c>
      <c r="B15" s="50" t="inlineStr">
        <is>
          <t>Encryption Algorithms</t>
        </is>
      </c>
      <c r="C15" s="51" t="inlineStr">
        <is>
          <t>V11.3.2</t>
        </is>
      </c>
      <c r="D15" s="52" t="inlineStr">
        <is>
          <t>Verify that only approved ciphers and modes such as AES with GCM are used.</t>
        </is>
      </c>
      <c r="E15" s="53" t="n">
        <v>1</v>
      </c>
      <c r="F15" s="49" t="inlineStr">
        <is>
          <t>Pending</t>
        </is>
      </c>
      <c r="G15" s="52" t="inlineStr">
        <is>
          <t>SR-COMM-01: TLS 1.2+ with approved cipher suites; AES-GCM used in TLS.</t>
        </is>
      </c>
      <c r="H15" s="52" t="n"/>
    </row>
    <row r="16" ht="30" customHeight="1" s="28">
      <c r="A16" s="45" t="inlineStr">
        <is>
          <t>V11.3</t>
        </is>
      </c>
      <c r="B16" s="45" t="inlineStr">
        <is>
          <t>Encryption Algorithms</t>
        </is>
      </c>
      <c r="C16" s="46" t="inlineStr">
        <is>
          <t>V11.3.3</t>
        </is>
      </c>
      <c r="D16" s="47" t="inlineStr">
        <is>
          <t>Verify that encrypted data is protected against unauthorized modification preferably by using an approved authenticated encryption method or by combining an approved encryption method with an approved MAC algorithm.</t>
        </is>
      </c>
      <c r="E16" s="48" t="n">
        <v>2</v>
      </c>
      <c r="F16" s="49" t="inlineStr">
        <is>
          <t>Pending</t>
        </is>
      </c>
      <c r="G16" s="47" t="inlineStr">
        <is>
          <t>SR-DATA-02: SHA-256 integrity hashes computed for all files; TLS protects data in transit.</t>
        </is>
      </c>
      <c r="H16" s="47" t="n"/>
    </row>
    <row r="17" ht="30" customHeight="1" s="28">
      <c r="A17" s="50" t="inlineStr">
        <is>
          <t>V11.3</t>
        </is>
      </c>
      <c r="B17" s="50" t="inlineStr">
        <is>
          <t>Encryption Algorithms</t>
        </is>
      </c>
      <c r="C17" s="51" t="inlineStr">
        <is>
          <t>V11.3.4</t>
        </is>
      </c>
      <c r="D17" s="52" t="inlineStr">
        <is>
          <t>Verify that nonces, initialization vectors, and other single-use numbers are not used for more than one encryption key and data-element pair. The method of generation must be appropriate for the algorithm being used.</t>
        </is>
      </c>
      <c r="E17" s="54" t="n">
        <v>3</v>
      </c>
      <c r="F17" s="49" t="inlineStr">
        <is>
          <t>Pending</t>
        </is>
      </c>
      <c r="G17" s="52" t="inlineStr">
        <is>
          <t>JWT jti claim provides unique identifier per token; nonce reuse prevented.</t>
        </is>
      </c>
      <c r="H17" s="52" t="n"/>
    </row>
    <row r="18" ht="30" customHeight="1" s="28">
      <c r="A18" s="45" t="inlineStr">
        <is>
          <t>V11.3</t>
        </is>
      </c>
      <c r="B18" s="45" t="inlineStr">
        <is>
          <t>Encryption Algorithms</t>
        </is>
      </c>
      <c r="C18" s="46" t="inlineStr">
        <is>
          <t>V11.3.5</t>
        </is>
      </c>
      <c r="D18" s="47" t="inlineStr">
        <is>
          <t>Verify that any combination of an encryption algorithm and a MAC algorithm is operating in encrypt-then-MAC mode.</t>
        </is>
      </c>
      <c r="E18" s="54" t="n">
        <v>3</v>
      </c>
      <c r="F18" s="49" t="inlineStr">
        <is>
          <t>N/A</t>
        </is>
      </c>
      <c r="G18" s="47" t="inlineStr">
        <is>
          <t>Using AEAD via TLS; separate encrypt-then-MAC not applicable.</t>
        </is>
      </c>
      <c r="H18" s="47" t="n"/>
    </row>
    <row r="19" ht="18" customHeight="1" s="28">
      <c r="A19" s="44" t="inlineStr">
        <is>
          <t>V11.4</t>
        </is>
      </c>
      <c r="B19" s="44" t="inlineStr">
        <is>
          <t>Hashing and Hash-based Functions</t>
        </is>
      </c>
      <c r="C19" s="44" t="n"/>
      <c r="D19" s="44" t="n"/>
      <c r="E19" s="44" t="n"/>
      <c r="F19" s="44" t="n"/>
      <c r="G19" s="44" t="n"/>
      <c r="H19" s="44" t="n"/>
    </row>
    <row r="20" ht="30" customHeight="1" s="28">
      <c r="A20" s="45" t="inlineStr">
        <is>
          <t>V11.4</t>
        </is>
      </c>
      <c r="B20" s="45" t="inlineStr">
        <is>
          <t>Hashing and Hash-based Functions</t>
        </is>
      </c>
      <c r="C20" s="46" t="inlineStr">
        <is>
          <t>V11.4.1</t>
        </is>
      </c>
      <c r="D20" s="47" t="inlineStr">
        <is>
          <t>Verify that only approved hash functions are used for general cryptographic use cases, including digital signatures, HMAC, KDF, and random bit generation. Disallowed hash functions, such as MD5, must not be used for any cryptographic purpose.</t>
        </is>
      </c>
      <c r="E20" s="53" t="n">
        <v>1</v>
      </c>
      <c r="F20" s="49" t="inlineStr">
        <is>
          <t>Pending</t>
        </is>
      </c>
      <c r="G20" s="47" t="inlineStr">
        <is>
          <t>SHA-256 used for file integrity (SR-DATA-02); bcrypt for passwords. No MD5 or SHA-1 used.</t>
        </is>
      </c>
      <c r="H20" s="47" t="n"/>
    </row>
    <row r="21" ht="30" customHeight="1" s="28">
      <c r="A21" s="50" t="inlineStr">
        <is>
          <t>V11.4</t>
        </is>
      </c>
      <c r="B21" s="50" t="inlineStr">
        <is>
          <t>Hashing and Hash-based Functions</t>
        </is>
      </c>
      <c r="C21" s="51" t="inlineStr">
        <is>
          <t>V11.4.2</t>
        </is>
      </c>
      <c r="D21" s="52" t="inlineStr">
        <is>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is>
      </c>
      <c r="E21" s="48" t="n">
        <v>2</v>
      </c>
      <c r="F21" s="49" t="inlineStr">
        <is>
          <t>Pending</t>
        </is>
      </c>
      <c r="G21" s="52" t="inlineStr">
        <is>
          <t>SR-AUTH-02: bcrypt with minimum cost factor 12 used for password storage.</t>
        </is>
      </c>
      <c r="H21" s="52" t="n"/>
    </row>
    <row r="22" ht="30" customHeight="1" s="28">
      <c r="A22" s="45" t="inlineStr">
        <is>
          <t>V11.4</t>
        </is>
      </c>
      <c r="B22" s="45" t="inlineStr">
        <is>
          <t>Hashing and Hash-based Functions</t>
        </is>
      </c>
      <c r="C22" s="46" t="inlineStr">
        <is>
          <t>V11.4.3</t>
        </is>
      </c>
      <c r="D22" s="47" t="inlineStr">
        <is>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is>
      </c>
      <c r="E22" s="48" t="n">
        <v>2</v>
      </c>
      <c r="F22" s="49" t="inlineStr">
        <is>
          <t>Pending</t>
        </is>
      </c>
      <c r="G22" s="47" t="inlineStr">
        <is>
          <t>SHA-256 (256-bit output) used for file integrity verification (SR-DATA-02).</t>
        </is>
      </c>
      <c r="H22" s="47" t="n"/>
    </row>
    <row r="23" ht="30" customHeight="1" s="28">
      <c r="A23" s="50" t="inlineStr">
        <is>
          <t>V11.4</t>
        </is>
      </c>
      <c r="B23" s="50" t="inlineStr">
        <is>
          <t>Hashing and Hash-based Functions</t>
        </is>
      </c>
      <c r="C23" s="51" t="inlineStr">
        <is>
          <t>V11.4.4</t>
        </is>
      </c>
      <c r="D23" s="52" t="inlineStr">
        <is>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is>
      </c>
      <c r="E23" s="48" t="n">
        <v>2</v>
      </c>
      <c r="F23" s="49" t="inlineStr">
        <is>
          <t>Pending</t>
        </is>
      </c>
      <c r="G23" s="52" t="inlineStr">
        <is>
          <t>bcrypt with cost factor 12 provides appropriate key stretching for password hashing.</t>
        </is>
      </c>
      <c r="H23" s="52" t="n"/>
    </row>
    <row r="24" ht="18" customHeight="1" s="28">
      <c r="A24" s="44" t="inlineStr">
        <is>
          <t>V11.5</t>
        </is>
      </c>
      <c r="B24" s="44" t="inlineStr">
        <is>
          <t>Random Values</t>
        </is>
      </c>
      <c r="C24" s="44" t="n"/>
      <c r="D24" s="44" t="n"/>
      <c r="E24" s="44" t="n"/>
      <c r="F24" s="44" t="n"/>
      <c r="G24" s="44" t="n"/>
      <c r="H24" s="44" t="n"/>
    </row>
    <row r="25" ht="30" customHeight="1" s="28">
      <c r="A25" s="45" t="inlineStr">
        <is>
          <t>V11.5</t>
        </is>
      </c>
      <c r="B25" s="45" t="inlineStr">
        <is>
          <t>Random Values</t>
        </is>
      </c>
      <c r="C25" s="46" t="inlineStr">
        <is>
          <t>V11.5.1</t>
        </is>
      </c>
      <c r="D25" s="47" t="inlineStr">
        <is>
          <t>Verify that all random numbers and strings which are intended to be non-guessable must be generated using a cryptographically secure pseudo-random number generator (CSPRNG) and have at least 128 bits of entropy. Note that UUIDs do not respect this condition.</t>
        </is>
      </c>
      <c r="E25" s="48" t="n">
        <v>2</v>
      </c>
      <c r="F25" s="49" t="inlineStr">
        <is>
          <t>Pending</t>
        </is>
      </c>
      <c r="G25" s="47" t="inlineStr">
        <is>
          <t>Python secrets module and UUID v4 (SR-AUTHZ-08) used for secure random generation.</t>
        </is>
      </c>
      <c r="H25" s="47" t="n"/>
    </row>
    <row r="26" ht="30" customHeight="1" s="28">
      <c r="A26" s="50" t="inlineStr">
        <is>
          <t>V11.5</t>
        </is>
      </c>
      <c r="B26" s="50" t="inlineStr">
        <is>
          <t>Random Values</t>
        </is>
      </c>
      <c r="C26" s="51" t="inlineStr">
        <is>
          <t>V11.5.2</t>
        </is>
      </c>
      <c r="D26" s="52" t="inlineStr">
        <is>
          <t>Verify that the random number generation mechanism in use is designed to work securely, even under heavy demand.</t>
        </is>
      </c>
      <c r="E26" s="54" t="n">
        <v>3</v>
      </c>
      <c r="F26" s="49" t="inlineStr">
        <is>
          <t>Pending</t>
        </is>
      </c>
      <c r="G26" s="52" t="inlineStr">
        <is>
          <t>Python secrets module uses OS CSPRNG; designed to work securely under load.</t>
        </is>
      </c>
      <c r="H26" s="52" t="n"/>
    </row>
    <row r="27" ht="18" customHeight="1" s="28">
      <c r="A27" s="44" t="inlineStr">
        <is>
          <t>V11.6</t>
        </is>
      </c>
      <c r="B27" s="44" t="inlineStr">
        <is>
          <t>Public Key Cryptography</t>
        </is>
      </c>
      <c r="C27" s="44" t="n"/>
      <c r="D27" s="44" t="n"/>
      <c r="E27" s="44" t="n"/>
      <c r="F27" s="44" t="n"/>
      <c r="G27" s="44" t="n"/>
      <c r="H27" s="44" t="n"/>
    </row>
    <row r="28" ht="30" customHeight="1" s="28">
      <c r="A28" s="45" t="inlineStr">
        <is>
          <t>V11.6</t>
        </is>
      </c>
      <c r="B28" s="45" t="inlineStr">
        <is>
          <t>Public Key Cryptography</t>
        </is>
      </c>
      <c r="C28" s="46" t="inlineStr">
        <is>
          <t>V11.6.1</t>
        </is>
      </c>
      <c r="D28" s="47" t="inlineStr">
        <is>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is>
      </c>
      <c r="E28" s="48" t="n">
        <v>2</v>
      </c>
      <c r="F28" s="49" t="inlineStr">
        <is>
          <t>Pending</t>
        </is>
      </c>
      <c r="G28" s="47" t="inlineStr">
        <is>
          <t>SR-AUTH-06: HS256 with 256-bit secret or RS256 used; no vulnerable key generation.</t>
        </is>
      </c>
      <c r="H28" s="47" t="n"/>
    </row>
    <row r="29" ht="30" customHeight="1" s="28">
      <c r="A29" s="50" t="inlineStr">
        <is>
          <t>V11.6</t>
        </is>
      </c>
      <c r="B29" s="50" t="inlineStr">
        <is>
          <t>Public Key Cryptography</t>
        </is>
      </c>
      <c r="C29" s="51" t="inlineStr">
        <is>
          <t>V11.6.2</t>
        </is>
      </c>
      <c r="D29" s="52" t="inlineStr">
        <is>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is>
      </c>
      <c r="E29" s="54" t="n">
        <v>3</v>
      </c>
      <c r="F29" s="49" t="inlineStr">
        <is>
          <t>Pending</t>
        </is>
      </c>
      <c r="G29" s="52" t="inlineStr">
        <is>
          <t>TLS handles key exchange using approved Diffie-Hellman parameters via Nginx.</t>
        </is>
      </c>
      <c r="H29" s="52" t="n"/>
    </row>
    <row r="30" ht="18" customHeight="1" s="28">
      <c r="A30" s="44" t="inlineStr">
        <is>
          <t>V11.7</t>
        </is>
      </c>
      <c r="B30" s="44" t="inlineStr">
        <is>
          <t>In-Use Data Cryptography</t>
        </is>
      </c>
      <c r="C30" s="44" t="n"/>
      <c r="D30" s="44" t="n"/>
      <c r="E30" s="44" t="n"/>
      <c r="F30" s="44" t="n"/>
      <c r="G30" s="44" t="n"/>
      <c r="H30" s="44" t="n"/>
    </row>
    <row r="31" ht="30" customHeight="1" s="28">
      <c r="A31" s="45" t="inlineStr">
        <is>
          <t>V11.7</t>
        </is>
      </c>
      <c r="B31" s="45" t="inlineStr">
        <is>
          <t>In-Use Data Cryptography</t>
        </is>
      </c>
      <c r="C31" s="46" t="inlineStr">
        <is>
          <t>V11.7.1</t>
        </is>
      </c>
      <c r="D31" s="47" t="inlineStr">
        <is>
          <t>Verify that full memory encryption is in use that protects sensitive data while it is in use, preventing access by unauthorized users or processes.</t>
        </is>
      </c>
      <c r="E31" s="54" t="n">
        <v>3</v>
      </c>
      <c r="F31" s="49" t="inlineStr">
        <is>
          <t>N/A</t>
        </is>
      </c>
      <c r="G31" s="47" t="inlineStr">
        <is>
          <t>Full memory encryption not implemented; OS-level controls assumed.</t>
        </is>
      </c>
      <c r="H31" s="47" t="n"/>
    </row>
    <row r="32" ht="30" customHeight="1" s="28">
      <c r="A32" s="50" t="inlineStr">
        <is>
          <t>V11.7</t>
        </is>
      </c>
      <c r="B32" s="50" t="inlineStr">
        <is>
          <t>In-Use Data Cryptography</t>
        </is>
      </c>
      <c r="C32" s="51" t="inlineStr">
        <is>
          <t>V11.7.2</t>
        </is>
      </c>
      <c r="D32" s="52" t="inlineStr">
        <is>
          <t>Verify that data minimization ensures the minimal amount of data is exposed during processing, and ensure that data is encrypted immediately after use or as soon as feasible.</t>
        </is>
      </c>
      <c r="E32" s="54" t="n">
        <v>3</v>
      </c>
      <c r="F32" s="49" t="inlineStr">
        <is>
          <t>Pending</t>
        </is>
      </c>
      <c r="G32" s="52" t="inlineStr">
        <is>
          <t>SR-DATA-08: Sensitive data (passwords, tokens) not retained in memory beyond processing; not logged.</t>
        </is>
      </c>
      <c r="H32" s="52" t="n"/>
    </row>
  </sheetData>
  <conditionalFormatting sqref="F2:F32">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32"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H1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V12.1</t>
        </is>
      </c>
      <c r="B2" s="44" t="inlineStr">
        <is>
          <t>General TLS Security Guidance</t>
        </is>
      </c>
      <c r="C2" s="44" t="n"/>
      <c r="D2" s="44" t="n"/>
      <c r="E2" s="44" t="n"/>
      <c r="F2" s="44" t="n"/>
      <c r="G2" s="44" t="n"/>
      <c r="H2" s="44" t="n"/>
    </row>
    <row r="3" ht="30" customHeight="1" s="28">
      <c r="A3" s="45" t="inlineStr">
        <is>
          <t>V12.1</t>
        </is>
      </c>
      <c r="B3" s="45" t="inlineStr">
        <is>
          <t>General TLS Security Guidance</t>
        </is>
      </c>
      <c r="C3" s="46" t="inlineStr">
        <is>
          <t>V12.1.1</t>
        </is>
      </c>
      <c r="D3" s="47" t="inlineStr">
        <is>
          <t>Verify that only the latest recommended versions of the TLS protocol are enabled, such as TLS 1.2 and TLS 1.3. The latest version of the TLS protocol must be the preferred option.</t>
        </is>
      </c>
      <c r="E3" s="53" t="n">
        <v>1</v>
      </c>
      <c r="F3" s="49" t="inlineStr">
        <is>
          <t>Pending</t>
        </is>
      </c>
      <c r="G3" s="47" t="inlineStr">
        <is>
          <t>SR-COMM-01: TLS 1.2 and TLS 1.3 enabled; configured in Nginx reverse proxy.</t>
        </is>
      </c>
      <c r="H3" s="47" t="n"/>
    </row>
    <row r="4" ht="30" customHeight="1" s="28">
      <c r="A4" s="50" t="inlineStr">
        <is>
          <t>V12.1</t>
        </is>
      </c>
      <c r="B4" s="50" t="inlineStr">
        <is>
          <t>General TLS Security Guidance</t>
        </is>
      </c>
      <c r="C4" s="51" t="inlineStr">
        <is>
          <t>V12.1.2</t>
        </is>
      </c>
      <c r="D4" s="52" t="inlineStr">
        <is>
          <t>Verify that only recommended cipher suites are enabled, with the strongest cipher suites set as preferred. L3 applications must only support cipher suites which provide forward secrecy.</t>
        </is>
      </c>
      <c r="E4" s="48" t="n">
        <v>2</v>
      </c>
      <c r="F4" s="49" t="inlineStr">
        <is>
          <t>Pending</t>
        </is>
      </c>
      <c r="G4" s="52" t="inlineStr">
        <is>
          <t>Nginx configured with recommended cipher suites; weak ciphers disabled.</t>
        </is>
      </c>
      <c r="H4" s="52" t="n"/>
    </row>
    <row r="5" ht="30" customHeight="1" s="28">
      <c r="A5" s="45" t="inlineStr">
        <is>
          <t>V12.1</t>
        </is>
      </c>
      <c r="B5" s="45" t="inlineStr">
        <is>
          <t>General TLS Security Guidance</t>
        </is>
      </c>
      <c r="C5" s="46" t="inlineStr">
        <is>
          <t>V12.1.3</t>
        </is>
      </c>
      <c r="D5" s="47" t="inlineStr">
        <is>
          <t>Verify that the application validates that mTLS client certificates are trusted before using the certificate identity for authentication or authorization.</t>
        </is>
      </c>
      <c r="E5" s="48" t="n">
        <v>2</v>
      </c>
      <c r="F5" s="49" t="inlineStr">
        <is>
          <t>N/A</t>
        </is>
      </c>
      <c r="G5" s="47" t="inlineStr">
        <is>
          <t>mTLS client certificates not used; JWT authentication used instead.</t>
        </is>
      </c>
      <c r="H5" s="47" t="n"/>
    </row>
    <row r="6" ht="30" customHeight="1" s="28">
      <c r="A6" s="50" t="inlineStr">
        <is>
          <t>V12.1</t>
        </is>
      </c>
      <c r="B6" s="50" t="inlineStr">
        <is>
          <t>General TLS Security Guidance</t>
        </is>
      </c>
      <c r="C6" s="51" t="inlineStr">
        <is>
          <t>V12.1.4</t>
        </is>
      </c>
      <c r="D6" s="52" t="inlineStr">
        <is>
          <t>Verify that proper certification revocation, such as Online Certificate Status Protocol (OCSP) Stapling, is enabled and configured.</t>
        </is>
      </c>
      <c r="E6" s="54" t="n">
        <v>3</v>
      </c>
      <c r="F6" s="49" t="inlineStr">
        <is>
          <t>N/A</t>
        </is>
      </c>
      <c r="G6" s="52" t="inlineStr">
        <is>
          <t>OCSP Stapling not configured in Phase 1 design.</t>
        </is>
      </c>
      <c r="H6" s="52" t="n"/>
    </row>
    <row r="7" ht="30" customHeight="1" s="28">
      <c r="A7" s="45" t="inlineStr">
        <is>
          <t>V12.1</t>
        </is>
      </c>
      <c r="B7" s="45" t="inlineStr">
        <is>
          <t>General TLS Security Guidance</t>
        </is>
      </c>
      <c r="C7" s="46" t="inlineStr">
        <is>
          <t>V12.1.5</t>
        </is>
      </c>
      <c r="D7" s="47" t="inlineStr">
        <is>
          <t>Verify that Encrypted Client Hello (ECH) is enabled in the application's TLS settings to prevent exposure of sensitive metadata, such as the Server Name Indication (SNI), during TLS handshake processes.</t>
        </is>
      </c>
      <c r="E7" s="54" t="n">
        <v>3</v>
      </c>
      <c r="F7" s="49" t="inlineStr">
        <is>
          <t>N/A</t>
        </is>
      </c>
      <c r="G7" s="47" t="inlineStr">
        <is>
          <t>Encrypted Client Hello not configured in Phase 1.</t>
        </is>
      </c>
      <c r="H7" s="47" t="n"/>
    </row>
    <row r="8" ht="18" customHeight="1" s="28">
      <c r="A8" s="44" t="inlineStr">
        <is>
          <t>V12.2</t>
        </is>
      </c>
      <c r="B8" s="44" t="inlineStr">
        <is>
          <t>HTTPS Communication with External Facing Services</t>
        </is>
      </c>
      <c r="C8" s="44" t="n"/>
      <c r="D8" s="44" t="n"/>
      <c r="E8" s="44" t="n"/>
      <c r="F8" s="44" t="n"/>
      <c r="G8" s="44" t="n"/>
      <c r="H8" s="44" t="n"/>
    </row>
    <row r="9" ht="30" customHeight="1" s="28">
      <c r="A9" s="45" t="inlineStr">
        <is>
          <t>V12.2</t>
        </is>
      </c>
      <c r="B9" s="45" t="inlineStr">
        <is>
          <t>HTTPS Communication with External Facing Services</t>
        </is>
      </c>
      <c r="C9" s="46" t="inlineStr">
        <is>
          <t>V12.2.1</t>
        </is>
      </c>
      <c r="D9" s="47" t="inlineStr">
        <is>
          <t>Verify that TLS is used for all connectivity between a client and external facing, HTTP-based services, and does not fall back to insecure or unencrypted communications.</t>
        </is>
      </c>
      <c r="E9" s="53" t="n">
        <v>1</v>
      </c>
      <c r="F9" s="49" t="inlineStr">
        <is>
          <t>Pending</t>
        </is>
      </c>
      <c r="G9" s="47" t="inlineStr">
        <is>
          <t>SR-COMM-01: All client-server communication uses HTTPS/TLS; no HTTP fallback.</t>
        </is>
      </c>
      <c r="H9" s="47" t="n"/>
    </row>
    <row r="10" ht="30" customHeight="1" s="28">
      <c r="A10" s="50" t="inlineStr">
        <is>
          <t>V12.2</t>
        </is>
      </c>
      <c r="B10" s="50" t="inlineStr">
        <is>
          <t>HTTPS Communication with External Facing Services</t>
        </is>
      </c>
      <c r="C10" s="51" t="inlineStr">
        <is>
          <t>V12.2.2</t>
        </is>
      </c>
      <c r="D10" s="52" t="inlineStr">
        <is>
          <t>Verify that external facing services use publicly trusted TLS certificates.</t>
        </is>
      </c>
      <c r="E10" s="53" t="n">
        <v>1</v>
      </c>
      <c r="F10" s="49" t="inlineStr">
        <is>
          <t>Pending</t>
        </is>
      </c>
      <c r="G10" s="52" t="inlineStr">
        <is>
          <t>Nginx configured with publicly trusted TLS certificate.</t>
        </is>
      </c>
      <c r="H10" s="52" t="n"/>
    </row>
    <row r="11" ht="18" customHeight="1" s="28">
      <c r="A11" s="44" t="inlineStr">
        <is>
          <t>V12.3</t>
        </is>
      </c>
      <c r="B11" s="44" t="inlineStr">
        <is>
          <t>General Service to Service Communication Security</t>
        </is>
      </c>
      <c r="C11" s="44" t="n"/>
      <c r="D11" s="44" t="n"/>
      <c r="E11" s="44" t="n"/>
      <c r="F11" s="44" t="n"/>
      <c r="G11" s="44" t="n"/>
      <c r="H11" s="44" t="n"/>
    </row>
    <row r="12" ht="30" customHeight="1" s="28">
      <c r="A12" s="45" t="inlineStr">
        <is>
          <t>V12.3</t>
        </is>
      </c>
      <c r="B12" s="45" t="inlineStr">
        <is>
          <t>General Service to Service Communication Security</t>
        </is>
      </c>
      <c r="C12" s="46" t="inlineStr">
        <is>
          <t>V12.3.1</t>
        </is>
      </c>
      <c r="D12" s="47" t="inlineStr">
        <is>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is>
      </c>
      <c r="E12" s="48" t="n">
        <v>2</v>
      </c>
      <c r="F12" s="49" t="inlineStr">
        <is>
          <t>Pending</t>
        </is>
      </c>
      <c r="G12" s="47" t="inlineStr">
        <is>
          <t>SR-COMM-03: Database connections use TLS (sslmode=require); all internal communications encrypted.</t>
        </is>
      </c>
      <c r="H12" s="47" t="n"/>
    </row>
    <row r="13" ht="30" customHeight="1" s="28">
      <c r="A13" s="50" t="inlineStr">
        <is>
          <t>V12.3</t>
        </is>
      </c>
      <c r="B13" s="50" t="inlineStr">
        <is>
          <t>General Service to Service Communication Security</t>
        </is>
      </c>
      <c r="C13" s="51" t="inlineStr">
        <is>
          <t>V12.3.2</t>
        </is>
      </c>
      <c r="D13" s="52" t="inlineStr">
        <is>
          <t>Verify that TLS clients validate certificates received before communicating with a TLS server.</t>
        </is>
      </c>
      <c r="E13" s="48" t="n">
        <v>2</v>
      </c>
      <c r="F13" s="49" t="inlineStr">
        <is>
          <t>Pending</t>
        </is>
      </c>
      <c r="G13" s="52" t="inlineStr">
        <is>
          <t>SR-COMM-03: sslmode=require validates PostgreSQL server certificate.</t>
        </is>
      </c>
      <c r="H13" s="52" t="n"/>
    </row>
    <row r="14" ht="30" customHeight="1" s="28">
      <c r="A14" s="45" t="inlineStr">
        <is>
          <t>V12.3</t>
        </is>
      </c>
      <c r="B14" s="45" t="inlineStr">
        <is>
          <t>General Service to Service Communication Security</t>
        </is>
      </c>
      <c r="C14" s="46" t="inlineStr">
        <is>
          <t>V12.3.3</t>
        </is>
      </c>
      <c r="D14" s="47" t="inlineStr">
        <is>
          <t>Verify that TLS or another appropriate transport encryption mechanism used for all connectivity between internal, HTTP-based services within the application, and does not fall back to insecure or unencrypted communications.</t>
        </is>
      </c>
      <c r="E14" s="48" t="n">
        <v>2</v>
      </c>
      <c r="F14" s="49" t="inlineStr">
        <is>
          <t>Pending</t>
        </is>
      </c>
      <c r="G14" s="47" t="inlineStr">
        <is>
          <t>SR-COMM-03: Internal API-to-database communication uses TLS.</t>
        </is>
      </c>
      <c r="H14" s="47" t="n"/>
    </row>
    <row r="15" ht="30" customHeight="1" s="28">
      <c r="A15" s="50" t="inlineStr">
        <is>
          <t>V12.3</t>
        </is>
      </c>
      <c r="B15" s="50" t="inlineStr">
        <is>
          <t>General Service to Service Communication Security</t>
        </is>
      </c>
      <c r="C15" s="51" t="inlineStr">
        <is>
          <t>V12.3.4</t>
        </is>
      </c>
      <c r="D15" s="52" t="inlineStr">
        <is>
          <t>Verify that TLS connections between internal services use trusted certificates. Where internally generated or self-signed certificates are used, the consuming service must be configured to only trust specific internal CAs and specific self-signed certificates.</t>
        </is>
      </c>
      <c r="E15" s="48" t="n">
        <v>2</v>
      </c>
      <c r="F15" s="49" t="inlineStr">
        <is>
          <t>Pending</t>
        </is>
      </c>
      <c r="G15" s="52" t="inlineStr">
        <is>
          <t>PostgreSQL TLS configured with trusted CA certificates.</t>
        </is>
      </c>
      <c r="H15" s="52" t="n"/>
    </row>
    <row r="16" ht="30" customHeight="1" s="28">
      <c r="A16" s="45" t="inlineStr">
        <is>
          <t>V12.3</t>
        </is>
      </c>
      <c r="B16" s="45" t="inlineStr">
        <is>
          <t>General Service to Service Communication Security</t>
        </is>
      </c>
      <c r="C16" s="46" t="inlineStr">
        <is>
          <t>V12.3.5</t>
        </is>
      </c>
      <c r="D16" s="47" t="inlineStr">
        <is>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is>
      </c>
      <c r="E16" s="54" t="n">
        <v>3</v>
      </c>
      <c r="F16" s="49" t="inlineStr">
        <is>
          <t>N/A</t>
        </is>
      </c>
      <c r="G16" s="47" t="inlineStr">
        <is>
          <t>Single-service deployment on Docker network; no inter-service mTLS required.</t>
        </is>
      </c>
      <c r="H16" s="47" t="n"/>
    </row>
  </sheetData>
  <conditionalFormatting sqref="F2:F1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H2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V13.1</t>
        </is>
      </c>
      <c r="B2" s="44" t="inlineStr">
        <is>
          <t>Configuration Documentation</t>
        </is>
      </c>
      <c r="C2" s="44" t="n"/>
      <c r="D2" s="44" t="n"/>
      <c r="E2" s="44" t="n"/>
      <c r="F2" s="44" t="n"/>
      <c r="G2" s="44" t="n"/>
      <c r="H2" s="44" t="n"/>
    </row>
    <row r="3" ht="30" customHeight="1" s="28">
      <c r="A3" s="45" t="inlineStr">
        <is>
          <t>V13.1</t>
        </is>
      </c>
      <c r="B3" s="45" t="inlineStr">
        <is>
          <t>Configuration Documentation</t>
        </is>
      </c>
      <c r="C3" s="46" t="inlineStr">
        <is>
          <t>V13.1.1</t>
        </is>
      </c>
      <c r="D3" s="47" t="inlineStr">
        <is>
          <t>Verify that all communication needs for the application are documented. This must include external services which the application relies upon and cases where an end user might be able to provide an external location to which the application will then connect.</t>
        </is>
      </c>
      <c r="E3" s="48" t="n">
        <v>2</v>
      </c>
      <c r="F3" s="49" t="inlineStr">
        <is>
          <t>Pending</t>
        </is>
      </c>
      <c r="G3" s="47" t="inlineStr">
        <is>
          <t>Architecture section documents all communication needs: client-API, API-database, API-filesystem.</t>
        </is>
      </c>
      <c r="H3" s="47" t="n"/>
    </row>
    <row r="4" ht="30" customHeight="1" s="28">
      <c r="A4" s="50" t="inlineStr">
        <is>
          <t>V13.1</t>
        </is>
      </c>
      <c r="B4" s="50" t="inlineStr">
        <is>
          <t>Configuration Documentation</t>
        </is>
      </c>
      <c r="C4" s="51" t="inlineStr">
        <is>
          <t>V13.1.2</t>
        </is>
      </c>
      <c r="D4" s="52" t="inlineStr">
        <is>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is>
      </c>
      <c r="E4" s="54" t="n">
        <v>3</v>
      </c>
      <c r="F4" s="49" t="inlineStr">
        <is>
          <t>N/A</t>
        </is>
      </c>
      <c r="G4" s="52" t="inlineStr">
        <is>
          <t>Connection pool limits and behavior not explicitly documented.</t>
        </is>
      </c>
      <c r="H4" s="52" t="n"/>
    </row>
    <row r="5" ht="30" customHeight="1" s="28">
      <c r="A5" s="45" t="inlineStr">
        <is>
          <t>V13.1</t>
        </is>
      </c>
      <c r="B5" s="45" t="inlineStr">
        <is>
          <t>Configuration Documentation</t>
        </is>
      </c>
      <c r="C5" s="46" t="inlineStr">
        <is>
          <t>V13.1.3</t>
        </is>
      </c>
      <c r="D5" s="47" t="inlineStr">
        <is>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is>
      </c>
      <c r="E5" s="54" t="n">
        <v>3</v>
      </c>
      <c r="F5" s="49" t="inlineStr">
        <is>
          <t>N/A</t>
        </is>
      </c>
      <c r="G5" s="47" t="inlineStr">
        <is>
          <t>Resource management strategies not fully documented in Phase 1.</t>
        </is>
      </c>
      <c r="H5" s="47" t="n"/>
    </row>
    <row r="6" ht="30" customHeight="1" s="28">
      <c r="A6" s="50" t="inlineStr">
        <is>
          <t>V13.1</t>
        </is>
      </c>
      <c r="B6" s="50" t="inlineStr">
        <is>
          <t>Configuration Documentation</t>
        </is>
      </c>
      <c r="C6" s="51" t="inlineStr">
        <is>
          <t>V13.1.4</t>
        </is>
      </c>
      <c r="D6" s="52" t="inlineStr">
        <is>
          <t>Verify that the application's documentation defines the secrets that are critical for the security of the application and a schedule for rotating them, based on the organization's threat model and business requirements.</t>
        </is>
      </c>
      <c r="E6" s="54" t="n">
        <v>3</v>
      </c>
      <c r="F6" s="49" t="inlineStr">
        <is>
          <t>N/A</t>
        </is>
      </c>
      <c r="G6" s="52" t="inlineStr">
        <is>
          <t>Secret rotation schedule not formally documented.</t>
        </is>
      </c>
      <c r="H6" s="52" t="n"/>
    </row>
    <row r="7" ht="18" customHeight="1" s="28">
      <c r="A7" s="44" t="inlineStr">
        <is>
          <t>V13.2</t>
        </is>
      </c>
      <c r="B7" s="44" t="inlineStr">
        <is>
          <t>Backend Communication Configuration</t>
        </is>
      </c>
      <c r="C7" s="44" t="n"/>
      <c r="D7" s="44" t="n"/>
      <c r="E7" s="44" t="n"/>
      <c r="F7" s="44" t="n"/>
      <c r="G7" s="44" t="n"/>
      <c r="H7" s="44" t="n"/>
    </row>
    <row r="8" ht="30" customHeight="1" s="28">
      <c r="A8" s="45" t="inlineStr">
        <is>
          <t>V13.2</t>
        </is>
      </c>
      <c r="B8" s="45" t="inlineStr">
        <is>
          <t>Backend Communication Configuration</t>
        </is>
      </c>
      <c r="C8" s="46" t="inlineStr">
        <is>
          <t>V13.2.1</t>
        </is>
      </c>
      <c r="D8" s="47" t="inlineStr">
        <is>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is>
      </c>
      <c r="E8" s="48" t="n">
        <v>2</v>
      </c>
      <c r="F8" s="49" t="inlineStr">
        <is>
          <t>Pending</t>
        </is>
      </c>
      <c r="G8" s="47" t="inlineStr">
        <is>
          <t>SR-LOG-02: Separate audit_log DB user with INSERT/SELECT only. Application DB user with minimum required privileges.</t>
        </is>
      </c>
      <c r="H8" s="47" t="n"/>
    </row>
    <row r="9" ht="30" customHeight="1" s="28">
      <c r="A9" s="50" t="inlineStr">
        <is>
          <t>V13.2</t>
        </is>
      </c>
      <c r="B9" s="50" t="inlineStr">
        <is>
          <t>Backend Communication Configuration</t>
        </is>
      </c>
      <c r="C9" s="51" t="inlineStr">
        <is>
          <t>V13.2.2</t>
        </is>
      </c>
      <c r="D9" s="52" t="inlineStr">
        <is>
          <t>Verify that communications between backend application components, including local or operating system services, APIs, middleware, and data layers, are performed with accounts assigned the least necessary privileges.</t>
        </is>
      </c>
      <c r="E9" s="48" t="n">
        <v>2</v>
      </c>
      <c r="F9" s="49" t="inlineStr">
        <is>
          <t>Pending</t>
        </is>
      </c>
      <c r="G9" s="52" t="inlineStr">
        <is>
          <t>SR-LOG-02: Least-privilege DB users (app user: DML only; audit user: INSERT/SELECT only).</t>
        </is>
      </c>
      <c r="H9" s="52" t="n"/>
    </row>
    <row r="10" ht="30" customHeight="1" s="28">
      <c r="A10" s="45" t="inlineStr">
        <is>
          <t>V13.2</t>
        </is>
      </c>
      <c r="B10" s="45" t="inlineStr">
        <is>
          <t>Backend Communication Configuration</t>
        </is>
      </c>
      <c r="C10" s="46" t="inlineStr">
        <is>
          <t>V13.2.3</t>
        </is>
      </c>
      <c r="D10" s="47" t="inlineStr">
        <is>
          <t>Verify that if a credential has to be used for service authentication, the credential being used by the consumer is not a default credential (e.g., root/root or admin/admin).</t>
        </is>
      </c>
      <c r="E10" s="48" t="n">
        <v>2</v>
      </c>
      <c r="F10" s="49" t="inlineStr">
        <is>
          <t>Pending</t>
        </is>
      </c>
      <c r="G10" s="47" t="inlineStr">
        <is>
          <t>No default credentials used; all credentials set via environment variables.</t>
        </is>
      </c>
      <c r="H10" s="47" t="n"/>
    </row>
    <row r="11" ht="30" customHeight="1" s="28">
      <c r="A11" s="50" t="inlineStr">
        <is>
          <t>V13.2</t>
        </is>
      </c>
      <c r="B11" s="50" t="inlineStr">
        <is>
          <t>Backend Communication Configuration</t>
        </is>
      </c>
      <c r="C11" s="51" t="inlineStr">
        <is>
          <t>V13.2.4</t>
        </is>
      </c>
      <c r="D11" s="52" t="inlineStr">
        <is>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is>
      </c>
      <c r="E11" s="48" t="n">
        <v>2</v>
      </c>
      <c r="F11" s="49" t="inlineStr">
        <is>
          <t>Pending</t>
        </is>
      </c>
      <c r="G11" s="52" t="inlineStr">
        <is>
          <t>No outbound connections to user-supplied URLs; all external resources on allowlist.</t>
        </is>
      </c>
      <c r="H11" s="52" t="n"/>
    </row>
    <row r="12" ht="30" customHeight="1" s="28">
      <c r="A12" s="45" t="inlineStr">
        <is>
          <t>V13.2</t>
        </is>
      </c>
      <c r="B12" s="45" t="inlineStr">
        <is>
          <t>Backend Communication Configuration</t>
        </is>
      </c>
      <c r="C12" s="46" t="inlineStr">
        <is>
          <t>V13.2.5</t>
        </is>
      </c>
      <c r="D12" s="47" t="inlineStr">
        <is>
          <t>Verify that the web or application server is configured with an allowlist of resources or systems to which the server can send requests or load data or files from.</t>
        </is>
      </c>
      <c r="E12" s="48" t="n">
        <v>2</v>
      </c>
      <c r="F12" s="49" t="inlineStr">
        <is>
          <t>Pending</t>
        </is>
      </c>
      <c r="G12" s="47" t="inlineStr">
        <is>
          <t>Nginx and Docker network configuration restricts outbound connections.</t>
        </is>
      </c>
      <c r="H12" s="47" t="n"/>
    </row>
    <row r="13" ht="30" customHeight="1" s="28">
      <c r="A13" s="50" t="inlineStr">
        <is>
          <t>V13.2</t>
        </is>
      </c>
      <c r="B13" s="50" t="inlineStr">
        <is>
          <t>Backend Communication Configuration</t>
        </is>
      </c>
      <c r="C13" s="51" t="inlineStr">
        <is>
          <t>V13.2.6</t>
        </is>
      </c>
      <c r="D13" s="52" t="inlineStr">
        <is>
          <t>Verify that where the application connects to separate services, it follows the documented configuration for each connection, such as maximum parallel connections, behavior when maximum allowed connections is reached, connection timeouts, and retry strategies.</t>
        </is>
      </c>
      <c r="E13" s="54" t="n">
        <v>3</v>
      </c>
      <c r="F13" s="49" t="inlineStr">
        <is>
          <t>N/A</t>
        </is>
      </c>
      <c r="G13" s="52" t="inlineStr">
        <is>
          <t>Documented connection configuration per service not fully specified in Phase 1.</t>
        </is>
      </c>
      <c r="H13" s="52" t="n"/>
    </row>
    <row r="14" ht="18" customHeight="1" s="28">
      <c r="A14" s="44" t="inlineStr">
        <is>
          <t>V13.3</t>
        </is>
      </c>
      <c r="B14" s="44" t="inlineStr">
        <is>
          <t>Secret Management</t>
        </is>
      </c>
      <c r="C14" s="44" t="n"/>
      <c r="D14" s="44" t="n"/>
      <c r="E14" s="44" t="n"/>
      <c r="F14" s="44" t="n"/>
      <c r="G14" s="44" t="n"/>
      <c r="H14" s="44" t="n"/>
    </row>
    <row r="15" ht="30" customHeight="1" s="28">
      <c r="A15" s="45" t="inlineStr">
        <is>
          <t>V13.3</t>
        </is>
      </c>
      <c r="B15" s="45" t="inlineStr">
        <is>
          <t>Secret Management</t>
        </is>
      </c>
      <c r="C15" s="46" t="inlineStr">
        <is>
          <t>V13.3.1</t>
        </is>
      </c>
      <c r="D15" s="47" t="inlineStr">
        <is>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is>
      </c>
      <c r="E15" s="48" t="n">
        <v>2</v>
      </c>
      <c r="F15" s="49" t="inlineStr">
        <is>
          <t>Pending</t>
        </is>
      </c>
      <c r="G15" s="47" t="inlineStr">
        <is>
          <t>SR-AUTH-06: Secrets managed via environment variables; never hardcoded in source or build artifacts.</t>
        </is>
      </c>
      <c r="H15" s="47" t="n"/>
    </row>
    <row r="16" ht="30" customHeight="1" s="28">
      <c r="A16" s="50" t="inlineStr">
        <is>
          <t>V13.3</t>
        </is>
      </c>
      <c r="B16" s="50" t="inlineStr">
        <is>
          <t>Secret Management</t>
        </is>
      </c>
      <c r="C16" s="51" t="inlineStr">
        <is>
          <t>V13.3.2</t>
        </is>
      </c>
      <c r="D16" s="52" t="inlineStr">
        <is>
          <t>Verify that access to secret assets adheres to the principle of least privilege.</t>
        </is>
      </c>
      <c r="E16" s="48" t="n">
        <v>2</v>
      </c>
      <c r="F16" s="49" t="inlineStr">
        <is>
          <t>Pending</t>
        </is>
      </c>
      <c r="G16" s="52" t="inlineStr">
        <is>
          <t>Environment variables accessible only to application process; principle of least privilege applied.</t>
        </is>
      </c>
      <c r="H16" s="52" t="n"/>
    </row>
    <row r="17" ht="30" customHeight="1" s="28">
      <c r="A17" s="45" t="inlineStr">
        <is>
          <t>V13.3</t>
        </is>
      </c>
      <c r="B17" s="45" t="inlineStr">
        <is>
          <t>Secret Management</t>
        </is>
      </c>
      <c r="C17" s="46" t="inlineStr">
        <is>
          <t>V13.3.3</t>
        </is>
      </c>
      <c r="D17" s="47" t="inlineStr">
        <is>
          <t>Verify that all cryptographic operations are performed using an isolated security module (such as a vault or hardware security module) to securely manage and protect key material from exposure outside of the security module.</t>
        </is>
      </c>
      <c r="E17" s="54" t="n">
        <v>3</v>
      </c>
      <c r="F17" s="49" t="inlineStr">
        <is>
          <t>N/A</t>
        </is>
      </c>
      <c r="G17" s="47" t="inlineStr">
        <is>
          <t>Hardware Security Module not used; environment-variable-based secret management used.</t>
        </is>
      </c>
      <c r="H17" s="47" t="n"/>
    </row>
    <row r="18" ht="30" customHeight="1" s="28">
      <c r="A18" s="50" t="inlineStr">
        <is>
          <t>V13.3</t>
        </is>
      </c>
      <c r="B18" s="50" t="inlineStr">
        <is>
          <t>Secret Management</t>
        </is>
      </c>
      <c r="C18" s="51" t="inlineStr">
        <is>
          <t>V13.3.4</t>
        </is>
      </c>
      <c r="D18" s="52" t="inlineStr">
        <is>
          <t>Verify that secrets are configured to expire and be rotated based on the application's documentation.</t>
        </is>
      </c>
      <c r="E18" s="54" t="n">
        <v>3</v>
      </c>
      <c r="F18" s="49" t="inlineStr">
        <is>
          <t>N/A</t>
        </is>
      </c>
      <c r="G18" s="52" t="inlineStr">
        <is>
          <t>Automated secret rotation not implemented in Phase 1.</t>
        </is>
      </c>
      <c r="H18" s="52" t="n"/>
    </row>
    <row r="19" ht="18" customHeight="1" s="28">
      <c r="A19" s="44" t="inlineStr">
        <is>
          <t>V13.4</t>
        </is>
      </c>
      <c r="B19" s="44" t="inlineStr">
        <is>
          <t>Unintended Information Leakage</t>
        </is>
      </c>
      <c r="C19" s="44" t="n"/>
      <c r="D19" s="44" t="n"/>
      <c r="E19" s="44" t="n"/>
      <c r="F19" s="44" t="n"/>
      <c r="G19" s="44" t="n"/>
      <c r="H19" s="44" t="n"/>
    </row>
    <row r="20" ht="30" customHeight="1" s="28">
      <c r="A20" s="45" t="inlineStr">
        <is>
          <t>V13.4</t>
        </is>
      </c>
      <c r="B20" s="45" t="inlineStr">
        <is>
          <t>Unintended Information Leakage</t>
        </is>
      </c>
      <c r="C20" s="46" t="inlineStr">
        <is>
          <t>V13.4.1</t>
        </is>
      </c>
      <c r="D20" s="47" t="inlineStr">
        <is>
          <t>Verify that the application is deployed either without any source control metadata, including the .git or .svn folders, or in a way that these folders are inaccessible both externally and to the application itself.</t>
        </is>
      </c>
      <c r="E20" s="53" t="n">
        <v>1</v>
      </c>
      <c r="F20" s="49" t="inlineStr">
        <is>
          <t>Pending</t>
        </is>
      </c>
      <c r="G20" s="47" t="inlineStr">
        <is>
          <t>Docker build process excludes .git directory; source metadata not deployed to production.</t>
        </is>
      </c>
      <c r="H20" s="47" t="n"/>
    </row>
    <row r="21" ht="30" customHeight="1" s="28">
      <c r="A21" s="50" t="inlineStr">
        <is>
          <t>V13.4</t>
        </is>
      </c>
      <c r="B21" s="50" t="inlineStr">
        <is>
          <t>Unintended Information Leakage</t>
        </is>
      </c>
      <c r="C21" s="51" t="inlineStr">
        <is>
          <t>V13.4.2</t>
        </is>
      </c>
      <c r="D21" s="52" t="inlineStr">
        <is>
          <t>Verify that debug modes are disabled for all components in production environments to prevent exposure of debugging features and information leakage.</t>
        </is>
      </c>
      <c r="E21" s="48" t="n">
        <v>2</v>
      </c>
      <c r="F21" s="49" t="inlineStr">
        <is>
          <t>Pending</t>
        </is>
      </c>
      <c r="G21" s="52" t="inlineStr">
        <is>
          <t>FastAPI debug mode disabled in production; no debug endpoints exposed.</t>
        </is>
      </c>
      <c r="H21" s="52" t="n"/>
    </row>
    <row r="22" ht="30" customHeight="1" s="28">
      <c r="A22" s="45" t="inlineStr">
        <is>
          <t>V13.4</t>
        </is>
      </c>
      <c r="B22" s="45" t="inlineStr">
        <is>
          <t>Unintended Information Leakage</t>
        </is>
      </c>
      <c r="C22" s="46" t="inlineStr">
        <is>
          <t>V13.4.3</t>
        </is>
      </c>
      <c r="D22" s="47" t="inlineStr">
        <is>
          <t>Verify that web servers do not expose directory listings to clients unless explicitly intended.</t>
        </is>
      </c>
      <c r="E22" s="48" t="n">
        <v>2</v>
      </c>
      <c r="F22" s="49" t="inlineStr">
        <is>
          <t>Pending</t>
        </is>
      </c>
      <c r="G22" s="47" t="inlineStr">
        <is>
          <t>SR-DATA-03: Files not in web root; no directory listings possible.</t>
        </is>
      </c>
      <c r="H22" s="47" t="n"/>
    </row>
    <row r="23" ht="30" customHeight="1" s="28">
      <c r="A23" s="50" t="inlineStr">
        <is>
          <t>V13.4</t>
        </is>
      </c>
      <c r="B23" s="50" t="inlineStr">
        <is>
          <t>Unintended Information Leakage</t>
        </is>
      </c>
      <c r="C23" s="51" t="inlineStr">
        <is>
          <t>V13.4.4</t>
        </is>
      </c>
      <c r="D23" s="52" t="inlineStr">
        <is>
          <t>Verify that using the HTTP TRACE method is not supported in production environments, to avoid potential information leakage.</t>
        </is>
      </c>
      <c r="E23" s="48" t="n">
        <v>2</v>
      </c>
      <c r="F23" s="49" t="inlineStr">
        <is>
          <t>Pending</t>
        </is>
      </c>
      <c r="G23" s="52" t="inlineStr">
        <is>
          <t>Nginx configured to disable HTTP TRACE method.</t>
        </is>
      </c>
      <c r="H23" s="52" t="n"/>
    </row>
    <row r="24" ht="30" customHeight="1" s="28">
      <c r="A24" s="45" t="inlineStr">
        <is>
          <t>V13.4</t>
        </is>
      </c>
      <c r="B24" s="45" t="inlineStr">
        <is>
          <t>Unintended Information Leakage</t>
        </is>
      </c>
      <c r="C24" s="46" t="inlineStr">
        <is>
          <t>V13.4.5</t>
        </is>
      </c>
      <c r="D24" s="47" t="inlineStr">
        <is>
          <t>Verify that documentation (such as for internal APIs) and monitoring endpoints are not exposed unless explicitly intended.</t>
        </is>
      </c>
      <c r="E24" s="48" t="n">
        <v>2</v>
      </c>
      <c r="F24" s="49" t="inlineStr">
        <is>
          <t>Pending</t>
        </is>
      </c>
      <c r="G24" s="47" t="inlineStr">
        <is>
          <t>FastAPI OpenAPI docs (/docs, /redoc) disabled in production configuration.</t>
        </is>
      </c>
      <c r="H24" s="47" t="n"/>
    </row>
    <row r="25" ht="30" customHeight="1" s="28">
      <c r="A25" s="50" t="inlineStr">
        <is>
          <t>V13.4</t>
        </is>
      </c>
      <c r="B25" s="50" t="inlineStr">
        <is>
          <t>Unintended Information Leakage</t>
        </is>
      </c>
      <c r="C25" s="51" t="inlineStr">
        <is>
          <t>V13.4.6</t>
        </is>
      </c>
      <c r="D25" s="52" t="inlineStr">
        <is>
          <t>Verify that the application does not expose detailed version information of backend components.</t>
        </is>
      </c>
      <c r="E25" s="54" t="n">
        <v>3</v>
      </c>
      <c r="F25" s="49" t="inlineStr">
        <is>
          <t>Pending</t>
        </is>
      </c>
      <c r="G25" s="52" t="inlineStr">
        <is>
          <t>SR-LOG-05: Error responses return generic messages; no version information exposed.</t>
        </is>
      </c>
      <c r="H25" s="52" t="n"/>
    </row>
    <row r="26" ht="30" customHeight="1" s="28">
      <c r="A26" s="45" t="inlineStr">
        <is>
          <t>V13.4</t>
        </is>
      </c>
      <c r="B26" s="45" t="inlineStr">
        <is>
          <t>Unintended Information Leakage</t>
        </is>
      </c>
      <c r="C26" s="46" t="inlineStr">
        <is>
          <t>V13.4.7</t>
        </is>
      </c>
      <c r="D26" s="47" t="inlineStr">
        <is>
          <t>Verify that the web tier is configured to only serve files with specific file extensions to prevent unintentional information, configuration, and source code leakage.</t>
        </is>
      </c>
      <c r="E26" s="54" t="n">
        <v>3</v>
      </c>
      <c r="F26" s="49" t="inlineStr">
        <is>
          <t>Pending</t>
        </is>
      </c>
      <c r="G26" s="47" t="inlineStr">
        <is>
          <t>Files served through authenticated API endpoints only; web server does not serve files directly.</t>
        </is>
      </c>
      <c r="H26" s="47" t="n"/>
    </row>
  </sheetData>
  <conditionalFormatting sqref="F2:F2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2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H17"/>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V14.1</t>
        </is>
      </c>
      <c r="B2" s="44" t="inlineStr">
        <is>
          <t>Data Protection Documentation</t>
        </is>
      </c>
      <c r="C2" s="44" t="n"/>
      <c r="D2" s="44" t="n"/>
      <c r="E2" s="44" t="n"/>
      <c r="F2" s="44" t="n"/>
      <c r="G2" s="44" t="n"/>
      <c r="H2" s="44" t="n"/>
    </row>
    <row r="3" ht="30" customHeight="1" s="28">
      <c r="A3" s="45" t="inlineStr">
        <is>
          <t>V14.1</t>
        </is>
      </c>
      <c r="B3" s="45" t="inlineStr">
        <is>
          <t>Data Protection Documentation</t>
        </is>
      </c>
      <c r="C3" s="46" t="inlineStr">
        <is>
          <t>V14.1.1</t>
        </is>
      </c>
      <c r="D3" s="47" t="inlineStr">
        <is>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is>
      </c>
      <c r="E3" s="48" t="n">
        <v>2</v>
      </c>
      <c r="F3" s="49" t="inlineStr">
        <is>
          <t>Pending</t>
        </is>
      </c>
      <c r="G3" s="47" t="inlineStr">
        <is>
          <t>SR-DATA-08: Sensitive data identified and classified (passwords, tokens, addresses, file contents).</t>
        </is>
      </c>
      <c r="H3" s="47" t="n"/>
    </row>
    <row r="4" ht="30" customHeight="1" s="28">
      <c r="A4" s="50" t="inlineStr">
        <is>
          <t>V14.1</t>
        </is>
      </c>
      <c r="B4" s="50" t="inlineStr">
        <is>
          <t>Data Protection Documentation</t>
        </is>
      </c>
      <c r="C4" s="51" t="inlineStr">
        <is>
          <t>V14.1.2</t>
        </is>
      </c>
      <c r="D4" s="52" t="inlineStr">
        <is>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is>
      </c>
      <c r="E4" s="48" t="n">
        <v>2</v>
      </c>
      <c r="F4" s="49" t="inlineStr">
        <is>
          <t>Pending</t>
        </is>
      </c>
      <c r="G4" s="52" t="inlineStr">
        <is>
          <t>SR-DATA-01 to SR-DATA-10: Protection requirements documented for each data category.</t>
        </is>
      </c>
      <c r="H4" s="52" t="n"/>
    </row>
    <row r="5" ht="18" customHeight="1" s="28">
      <c r="A5" s="44" t="inlineStr">
        <is>
          <t>V14.2</t>
        </is>
      </c>
      <c r="B5" s="44" t="inlineStr">
        <is>
          <t>General Data Protection</t>
        </is>
      </c>
      <c r="C5" s="44" t="n"/>
      <c r="D5" s="44" t="n"/>
      <c r="E5" s="44" t="n"/>
      <c r="F5" s="44" t="n"/>
      <c r="G5" s="44" t="n"/>
      <c r="H5" s="44" t="n"/>
    </row>
    <row r="6" ht="30" customHeight="1" s="28">
      <c r="A6" s="45" t="inlineStr">
        <is>
          <t>V14.2</t>
        </is>
      </c>
      <c r="B6" s="45" t="inlineStr">
        <is>
          <t>General Data Protection</t>
        </is>
      </c>
      <c r="C6" s="46" t="inlineStr">
        <is>
          <t>V14.2.1</t>
        </is>
      </c>
      <c r="D6" s="47" t="inlineStr">
        <is>
          <t>Verify that sensitive data is only sent to the server in the HTTP message body or header fields, and that the URL and query string do not contain sensitive information, such as an API key or session token.</t>
        </is>
      </c>
      <c r="E6" s="53" t="n">
        <v>1</v>
      </c>
      <c r="F6" s="49" t="inlineStr">
        <is>
          <t>Pending</t>
        </is>
      </c>
      <c r="G6" s="47" t="inlineStr">
        <is>
          <t>Credentials and tokens sent in Authorization header or request body; never in URL or query string.</t>
        </is>
      </c>
      <c r="H6" s="47" t="n"/>
    </row>
    <row r="7" ht="30" customHeight="1" s="28">
      <c r="A7" s="50" t="inlineStr">
        <is>
          <t>V14.2</t>
        </is>
      </c>
      <c r="B7" s="50" t="inlineStr">
        <is>
          <t>General Data Protection</t>
        </is>
      </c>
      <c r="C7" s="51" t="inlineStr">
        <is>
          <t>V14.2.2</t>
        </is>
      </c>
      <c r="D7" s="52" t="inlineStr">
        <is>
          <t>Verify that the application prevents sensitive data from being cached in server components, such as load balancers and application caches, or ensures that the data is securely purged after use.</t>
        </is>
      </c>
      <c r="E7" s="48" t="n">
        <v>2</v>
      </c>
      <c r="F7" s="49" t="inlineStr">
        <is>
          <t>Pending</t>
        </is>
      </c>
      <c r="G7" s="52" t="inlineStr">
        <is>
          <t>SR-COMM-05: Cache-Control: no-store set on authenticated responses.</t>
        </is>
      </c>
      <c r="H7" s="52" t="n"/>
    </row>
    <row r="8" ht="30" customHeight="1" s="28">
      <c r="A8" s="45" t="inlineStr">
        <is>
          <t>V14.2</t>
        </is>
      </c>
      <c r="B8" s="45" t="inlineStr">
        <is>
          <t>General Data Protection</t>
        </is>
      </c>
      <c r="C8" s="46" t="inlineStr">
        <is>
          <t>V14.2.3</t>
        </is>
      </c>
      <c r="D8" s="47" t="inlineStr">
        <is>
          <t>Verify that defined sensitive data is not sent to untrusted parties (e.g., user trackers) to prevent unwanted collection of data outside of the application's control.</t>
        </is>
      </c>
      <c r="E8" s="48" t="n">
        <v>2</v>
      </c>
      <c r="F8" s="49" t="inlineStr">
        <is>
          <t>Pending</t>
        </is>
      </c>
      <c r="G8" s="47" t="inlineStr">
        <is>
          <t>No third-party analytics, tracking, or data sharing integrations.</t>
        </is>
      </c>
      <c r="H8" s="47" t="n"/>
    </row>
    <row r="9" ht="30" customHeight="1" s="28">
      <c r="A9" s="50" t="inlineStr">
        <is>
          <t>V14.2</t>
        </is>
      </c>
      <c r="B9" s="50" t="inlineStr">
        <is>
          <t>General Data Protection</t>
        </is>
      </c>
      <c r="C9" s="51" t="inlineStr">
        <is>
          <t>V14.2.4</t>
        </is>
      </c>
      <c r="D9" s="52" t="inlineStr">
        <is>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is>
      </c>
      <c r="E9" s="48" t="n">
        <v>2</v>
      </c>
      <c r="F9" s="49" t="inlineStr">
        <is>
          <t>Pending</t>
        </is>
      </c>
      <c r="G9" s="52" t="inlineStr">
        <is>
          <t>SR-DATA-01 to SR-DATA-10: Encryption, integrity, retention, and access controls implemented per documented requirements.</t>
        </is>
      </c>
      <c r="H9" s="52" t="n"/>
    </row>
    <row r="10" ht="30" customHeight="1" s="28">
      <c r="A10" s="45" t="inlineStr">
        <is>
          <t>V14.2</t>
        </is>
      </c>
      <c r="B10" s="45" t="inlineStr">
        <is>
          <t>General Data Protection</t>
        </is>
      </c>
      <c r="C10" s="46" t="inlineStr">
        <is>
          <t>V14.2.5</t>
        </is>
      </c>
      <c r="D10" s="47" t="inlineStr">
        <is>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is>
      </c>
      <c r="E10" s="54" t="n">
        <v>3</v>
      </c>
      <c r="F10" s="49" t="inlineStr">
        <is>
          <t>Pending</t>
        </is>
      </c>
      <c r="G10" s="47" t="inlineStr">
        <is>
          <t>SR-COMM-05: Cache-Control: no-store prevents caching of sensitive responses.</t>
        </is>
      </c>
      <c r="H10" s="47" t="n"/>
    </row>
    <row r="11" ht="30" customHeight="1" s="28">
      <c r="A11" s="50" t="inlineStr">
        <is>
          <t>V14.2</t>
        </is>
      </c>
      <c r="B11" s="50" t="inlineStr">
        <is>
          <t>General Data Protection</t>
        </is>
      </c>
      <c r="C11" s="51" t="inlineStr">
        <is>
          <t>V14.2.6</t>
        </is>
      </c>
      <c r="D11" s="52" t="inlineStr">
        <is>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is>
      </c>
      <c r="E11" s="54" t="n">
        <v>3</v>
      </c>
      <c r="F11" s="49" t="inlineStr">
        <is>
          <t>Pending</t>
        </is>
      </c>
      <c r="G11" s="52" t="inlineStr">
        <is>
          <t>Pydantic response schemas return only required fields; no full object dumps.</t>
        </is>
      </c>
      <c r="H11" s="52" t="n"/>
    </row>
    <row r="12" ht="30" customHeight="1" s="28">
      <c r="A12" s="45" t="inlineStr">
        <is>
          <t>V14.2</t>
        </is>
      </c>
      <c r="B12" s="45" t="inlineStr">
        <is>
          <t>General Data Protection</t>
        </is>
      </c>
      <c r="C12" s="46" t="inlineStr">
        <is>
          <t>V14.2.7</t>
        </is>
      </c>
      <c r="D12" s="47" t="inlineStr">
        <is>
          <t>Verify that sensitive information is subject to data retention classification, ensuring that outdated or unnecessary data is deleted automatically, on a defined schedule, or as the situation requires.</t>
        </is>
      </c>
      <c r="E12" s="54" t="n">
        <v>3</v>
      </c>
      <c r="F12" s="49" t="inlineStr">
        <is>
          <t>Pending</t>
        </is>
      </c>
      <c r="G12" s="47" t="inlineStr">
        <is>
          <t>SR-LOG-06: Audit logs retained for 12 months; no indefinite data retention.</t>
        </is>
      </c>
      <c r="H12" s="47" t="n"/>
    </row>
    <row r="13" ht="30" customHeight="1" s="28">
      <c r="A13" s="50" t="inlineStr">
        <is>
          <t>V14.2</t>
        </is>
      </c>
      <c r="B13" s="50" t="inlineStr">
        <is>
          <t>General Data Protection</t>
        </is>
      </c>
      <c r="C13" s="51" t="inlineStr">
        <is>
          <t>V14.2.8</t>
        </is>
      </c>
      <c r="D13" s="52" t="inlineStr">
        <is>
          <t>Verify that sensitive information is removed from the metadata of user-submitted files unless storage is consented to by the user.</t>
        </is>
      </c>
      <c r="E13" s="54" t="n">
        <v>3</v>
      </c>
      <c r="F13" s="49" t="inlineStr">
        <is>
          <t>Pending</t>
        </is>
      </c>
      <c r="G13" s="52" t="inlineStr">
        <is>
          <t>SR-DATA-01: UUID filenames used; original filenames and EXIF metadata not exposed in API responses.</t>
        </is>
      </c>
      <c r="H13" s="52" t="n"/>
    </row>
    <row r="14" ht="18" customHeight="1" s="28">
      <c r="A14" s="44" t="inlineStr">
        <is>
          <t>V14.3</t>
        </is>
      </c>
      <c r="B14" s="44" t="inlineStr">
        <is>
          <t>Client-side Data Protection</t>
        </is>
      </c>
      <c r="C14" s="44" t="n"/>
      <c r="D14" s="44" t="n"/>
      <c r="E14" s="44" t="n"/>
      <c r="F14" s="44" t="n"/>
      <c r="G14" s="44" t="n"/>
      <c r="H14" s="44" t="n"/>
    </row>
    <row r="15" ht="30" customHeight="1" s="28">
      <c r="A15" s="45" t="inlineStr">
        <is>
          <t>V14.3</t>
        </is>
      </c>
      <c r="B15" s="45" t="inlineStr">
        <is>
          <t>Client-side Data Protection</t>
        </is>
      </c>
      <c r="C15" s="46" t="inlineStr">
        <is>
          <t>V14.3.1</t>
        </is>
      </c>
      <c r="D15" s="47" t="inlineStr">
        <is>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is>
      </c>
      <c r="E15" s="53" t="n">
        <v>1</v>
      </c>
      <c r="F15" s="49" t="inlineStr">
        <is>
          <t>Pending</t>
        </is>
      </c>
      <c r="G15" s="47" t="inlineStr">
        <is>
          <t>SR-AUTH-08: Refresh tokens invalidated on logout; access tokens expire after 15 minutes.</t>
        </is>
      </c>
      <c r="H15" s="47" t="n"/>
    </row>
    <row r="16" ht="30" customHeight="1" s="28">
      <c r="A16" s="50" t="inlineStr">
        <is>
          <t>V14.3</t>
        </is>
      </c>
      <c r="B16" s="50" t="inlineStr">
        <is>
          <t>Client-side Data Protection</t>
        </is>
      </c>
      <c r="C16" s="51" t="inlineStr">
        <is>
          <t>V14.3.2</t>
        </is>
      </c>
      <c r="D16" s="52" t="inlineStr">
        <is>
          <t>Verify that the application sets sufficient anti-caching HTTP response header fields (i.e., Cache-Control: no-store) so that sensitive data is not cached in browsers.</t>
        </is>
      </c>
      <c r="E16" s="48" t="n">
        <v>2</v>
      </c>
      <c r="F16" s="49" t="inlineStr">
        <is>
          <t>Pending</t>
        </is>
      </c>
      <c r="G16" s="52" t="inlineStr">
        <is>
          <t>SR-COMM-05: Cache-Control: no-store set on all authenticated responses.</t>
        </is>
      </c>
      <c r="H16" s="52" t="n"/>
    </row>
    <row r="17" ht="30" customHeight="1" s="28">
      <c r="A17" s="45" t="inlineStr">
        <is>
          <t>V14.3</t>
        </is>
      </c>
      <c r="B17" s="45" t="inlineStr">
        <is>
          <t>Client-side Data Protection</t>
        </is>
      </c>
      <c r="C17" s="46" t="inlineStr">
        <is>
          <t>V14.3.3</t>
        </is>
      </c>
      <c r="D17" s="47" t="inlineStr">
        <is>
          <t>Verify that data stored in browser storage (such as localStorage, sessionStorage, IndexedDB, or cookies) does not contain sensitive data, with the exception of session tokens.</t>
        </is>
      </c>
      <c r="E17" s="48" t="n">
        <v>2</v>
      </c>
      <c r="F17" s="49" t="inlineStr">
        <is>
          <t>N/A</t>
        </is>
      </c>
      <c r="G17" s="47" t="inlineStr">
        <is>
          <t>REST API; no browser storage used. JWT tokens managed by API clients.</t>
        </is>
      </c>
      <c r="H17" s="47" t="n"/>
    </row>
  </sheetData>
  <conditionalFormatting sqref="F2:F17">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7"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H2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V15.1</t>
        </is>
      </c>
      <c r="B2" s="44" t="inlineStr">
        <is>
          <t>Secure Coding and Architecture Documentation</t>
        </is>
      </c>
      <c r="C2" s="44" t="n"/>
      <c r="D2" s="44" t="n"/>
      <c r="E2" s="44" t="n"/>
      <c r="F2" s="44" t="n"/>
      <c r="G2" s="44" t="n"/>
      <c r="H2" s="44" t="n"/>
    </row>
    <row r="3" ht="30" customHeight="1" s="28">
      <c r="A3" s="45" t="inlineStr">
        <is>
          <t>V15.1</t>
        </is>
      </c>
      <c r="B3" s="45" t="inlineStr">
        <is>
          <t>Secure Coding and Architecture Documentation</t>
        </is>
      </c>
      <c r="C3" s="46" t="inlineStr">
        <is>
          <t>V15.1.1</t>
        </is>
      </c>
      <c r="D3" s="47" t="inlineStr">
        <is>
          <t>Verify that application documentation defines risk based remediation time frames for 3rd party component versions with vulnerabilities and for updating libraries in general, to minimize the risk from these components.</t>
        </is>
      </c>
      <c r="E3" s="53" t="n">
        <v>1</v>
      </c>
      <c r="F3" s="49" t="inlineStr">
        <is>
          <t>Pending</t>
        </is>
      </c>
      <c r="G3" s="47" t="inlineStr">
        <is>
          <t>SR-3RD-02: CI/CD pipeline scans dependencies; builds fail on critical CVEs. Remediation enforced.</t>
        </is>
      </c>
      <c r="H3" s="47" t="n"/>
    </row>
    <row r="4" ht="30" customHeight="1" s="28">
      <c r="A4" s="50" t="inlineStr">
        <is>
          <t>V15.1</t>
        </is>
      </c>
      <c r="B4" s="50" t="inlineStr">
        <is>
          <t>Secure Coding and Architecture Documentation</t>
        </is>
      </c>
      <c r="C4" s="51" t="inlineStr">
        <is>
          <t>V15.1.2</t>
        </is>
      </c>
      <c r="D4" s="52" t="inlineStr">
        <is>
          <t>Verify that an inventory catalog, such as software bill of materials (SBOM), is maintained of all third-party libraries in use, including verifying that components come from pre-defined, trusted, and continually maintained repositories.</t>
        </is>
      </c>
      <c r="E4" s="48" t="n">
        <v>2</v>
      </c>
      <c r="F4" s="49" t="inlineStr">
        <is>
          <t>Pending</t>
        </is>
      </c>
      <c r="G4" s="52" t="inlineStr">
        <is>
          <t>SR-3RD-03: SBOM generated per release using CycloneDX/SPDX.</t>
        </is>
      </c>
      <c r="H4" s="52" t="n"/>
    </row>
    <row r="5" ht="30" customHeight="1" s="28">
      <c r="A5" s="45" t="inlineStr">
        <is>
          <t>V15.1</t>
        </is>
      </c>
      <c r="B5" s="45" t="inlineStr">
        <is>
          <t>Secure Coding and Architecture Documentation</t>
        </is>
      </c>
      <c r="C5" s="46" t="inlineStr">
        <is>
          <t>V15.1.3</t>
        </is>
      </c>
      <c r="D5" s="47" t="inlineStr">
        <is>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is>
      </c>
      <c r="E5" s="48" t="n">
        <v>2</v>
      </c>
      <c r="F5" s="49" t="inlineStr">
        <is>
          <t>N/A</t>
        </is>
      </c>
      <c r="G5" s="47" t="inlineStr">
        <is>
          <t>Time-consuming functionality (file uploads, exports) not formally documented with availability strategies in Phase 1.</t>
        </is>
      </c>
      <c r="H5" s="47" t="n"/>
    </row>
    <row r="6" ht="30" customHeight="1" s="28">
      <c r="A6" s="50" t="inlineStr">
        <is>
          <t>V15.1</t>
        </is>
      </c>
      <c r="B6" s="50" t="inlineStr">
        <is>
          <t>Secure Coding and Architecture Documentation</t>
        </is>
      </c>
      <c r="C6" s="51" t="inlineStr">
        <is>
          <t>V15.1.4</t>
        </is>
      </c>
      <c r="D6" s="52" t="inlineStr">
        <is>
          <t>Verify that application documentation highlights third-party libraries which are considered to be "risky components".</t>
        </is>
      </c>
      <c r="E6" s="54" t="n">
        <v>3</v>
      </c>
      <c r="F6" s="49" t="inlineStr">
        <is>
          <t>Pending</t>
        </is>
      </c>
      <c r="G6" s="52" t="inlineStr">
        <is>
          <t>SR-3RD: Third-party libraries reviewed; risky components identified in security requirements.</t>
        </is>
      </c>
      <c r="H6" s="52" t="n"/>
    </row>
    <row r="7" ht="30" customHeight="1" s="28">
      <c r="A7" s="45" t="inlineStr">
        <is>
          <t>V15.1</t>
        </is>
      </c>
      <c r="B7" s="45" t="inlineStr">
        <is>
          <t>Secure Coding and Architecture Documentation</t>
        </is>
      </c>
      <c r="C7" s="46" t="inlineStr">
        <is>
          <t>V15.1.5</t>
        </is>
      </c>
      <c r="D7" s="47" t="inlineStr">
        <is>
          <t>Verify that application documentation highlights parts of the application where "dangerous functionality" is being used.</t>
        </is>
      </c>
      <c r="E7" s="54" t="n">
        <v>3</v>
      </c>
      <c r="F7" s="49" t="inlineStr">
        <is>
          <t>Pending</t>
        </is>
      </c>
      <c r="G7" s="47" t="inlineStr">
        <is>
          <t>Architecture section documents dangerous functionality: Jinja2 templates, filesystem operations, file uploads.</t>
        </is>
      </c>
      <c r="H7" s="47" t="n"/>
    </row>
    <row r="8" ht="18" customHeight="1" s="28">
      <c r="A8" s="44" t="inlineStr">
        <is>
          <t>V15.2</t>
        </is>
      </c>
      <c r="B8" s="44" t="inlineStr">
        <is>
          <t>Security Architecture and Dependencies</t>
        </is>
      </c>
      <c r="C8" s="44" t="n"/>
      <c r="D8" s="44" t="n"/>
      <c r="E8" s="44" t="n"/>
      <c r="F8" s="44" t="n"/>
      <c r="G8" s="44" t="n"/>
      <c r="H8" s="44" t="n"/>
    </row>
    <row r="9" ht="30" customHeight="1" s="28">
      <c r="A9" s="45" t="inlineStr">
        <is>
          <t>V15.2</t>
        </is>
      </c>
      <c r="B9" s="45" t="inlineStr">
        <is>
          <t>Security Architecture and Dependencies</t>
        </is>
      </c>
      <c r="C9" s="46" t="inlineStr">
        <is>
          <t>V15.2.1</t>
        </is>
      </c>
      <c r="D9" s="47" t="inlineStr">
        <is>
          <t>Verify that the application only contains components which have not breached the documented update and remediation time frames.</t>
        </is>
      </c>
      <c r="E9" s="53" t="n">
        <v>1</v>
      </c>
      <c r="F9" s="49" t="inlineStr">
        <is>
          <t>Pending</t>
        </is>
      </c>
      <c r="G9" s="47" t="inlineStr">
        <is>
          <t>SR-3RD-01: All dependencies pinned; SR-3RD-02: CI/CD blocks builds with unpatched critical CVEs.</t>
        </is>
      </c>
      <c r="H9" s="47" t="n"/>
    </row>
    <row r="10" ht="30" customHeight="1" s="28">
      <c r="A10" s="50" t="inlineStr">
        <is>
          <t>V15.2</t>
        </is>
      </c>
      <c r="B10" s="50" t="inlineStr">
        <is>
          <t>Security Architecture and Dependencies</t>
        </is>
      </c>
      <c r="C10" s="51" t="inlineStr">
        <is>
          <t>V15.2.2</t>
        </is>
      </c>
      <c r="D10" s="52" t="inlineStr">
        <is>
          <t>Verify that the application has implemented defenses against loss of availability due to functionality which is time-consuming or resource-demanding, based on the documented security decisions and strategies for this.</t>
        </is>
      </c>
      <c r="E10" s="48" t="n">
        <v>2</v>
      </c>
      <c r="F10" s="49" t="inlineStr">
        <is>
          <t>Pending</t>
        </is>
      </c>
      <c r="G10" s="52" t="inlineStr">
        <is>
          <t>SR-INPUT-08: Pagination limits prevent resource exhaustion. SR-AUTH-09: Rate limiting protects against DoS.</t>
        </is>
      </c>
      <c r="H10" s="52" t="n"/>
    </row>
    <row r="11" ht="30" customHeight="1" s="28">
      <c r="A11" s="45" t="inlineStr">
        <is>
          <t>V15.2</t>
        </is>
      </c>
      <c r="B11" s="45" t="inlineStr">
        <is>
          <t>Security Architecture and Dependencies</t>
        </is>
      </c>
      <c r="C11" s="46" t="inlineStr">
        <is>
          <t>V15.2.3</t>
        </is>
      </c>
      <c r="D11" s="47" t="inlineStr">
        <is>
          <t>Verify that the production environment only includes functionality that is required for the application to function, and does not expose extraneous functionality such as test code, sample snippets, and development functionality.</t>
        </is>
      </c>
      <c r="E11" s="48" t="n">
        <v>2</v>
      </c>
      <c r="F11" s="49" t="inlineStr">
        <is>
          <t>Pending</t>
        </is>
      </c>
      <c r="G11" s="47" t="inlineStr">
        <is>
          <t>SR-3RD-05: No dev/debug dependencies in production Docker image.</t>
        </is>
      </c>
      <c r="H11" s="47" t="n"/>
    </row>
    <row r="12" ht="30" customHeight="1" s="28">
      <c r="A12" s="50" t="inlineStr">
        <is>
          <t>V15.2</t>
        </is>
      </c>
      <c r="B12" s="50" t="inlineStr">
        <is>
          <t>Security Architecture and Dependencies</t>
        </is>
      </c>
      <c r="C12" s="51" t="inlineStr">
        <is>
          <t>V15.2.4</t>
        </is>
      </c>
      <c r="D12" s="52" t="inlineStr">
        <is>
          <t>Verify that third-party components and all of their transitive dependencies are included from the expected repository, whether internally owned or an external source, and that there is no risk of a dependency confusion attack.</t>
        </is>
      </c>
      <c r="E12" s="54" t="n">
        <v>3</v>
      </c>
      <c r="F12" s="49" t="inlineStr">
        <is>
          <t>Pending</t>
        </is>
      </c>
      <c r="G12" s="52" t="inlineStr">
        <is>
          <t>SR-3RD-01: Dependencies pinned to specific versions from PyPI; dependency confusion risk mitigated.</t>
        </is>
      </c>
      <c r="H12" s="52" t="n"/>
    </row>
    <row r="13" ht="30" customHeight="1" s="28">
      <c r="A13" s="45" t="inlineStr">
        <is>
          <t>V15.2</t>
        </is>
      </c>
      <c r="B13" s="45" t="inlineStr">
        <is>
          <t>Security Architecture and Dependencies</t>
        </is>
      </c>
      <c r="C13" s="46" t="inlineStr">
        <is>
          <t>V15.2.5</t>
        </is>
      </c>
      <c r="D13" s="47" t="inlineStr">
        <is>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is>
      </c>
      <c r="E13" s="54" t="n">
        <v>3</v>
      </c>
      <c r="F13" s="49" t="inlineStr">
        <is>
          <t>Pending</t>
        </is>
      </c>
      <c r="G13" s="47" t="inlineStr">
        <is>
          <t>SR-INPUT-05: Jinja2 SandboxedEnvironment isolates template execution. SR-DATA-03: Files outside web root.</t>
        </is>
      </c>
      <c r="H13" s="47" t="n"/>
    </row>
    <row r="14" ht="18" customHeight="1" s="28">
      <c r="A14" s="44" t="inlineStr">
        <is>
          <t>V15.3</t>
        </is>
      </c>
      <c r="B14" s="44" t="inlineStr">
        <is>
          <t>Defensive Coding</t>
        </is>
      </c>
      <c r="C14" s="44" t="n"/>
      <c r="D14" s="44" t="n"/>
      <c r="E14" s="44" t="n"/>
      <c r="F14" s="44" t="n"/>
      <c r="G14" s="44" t="n"/>
      <c r="H14" s="44" t="n"/>
    </row>
    <row r="15" ht="30" customHeight="1" s="28">
      <c r="A15" s="45" t="inlineStr">
        <is>
          <t>V15.3</t>
        </is>
      </c>
      <c r="B15" s="45" t="inlineStr">
        <is>
          <t>Defensive Coding</t>
        </is>
      </c>
      <c r="C15" s="46" t="inlineStr">
        <is>
          <t>V15.3.1</t>
        </is>
      </c>
      <c r="D15" s="47" t="inlineStr">
        <is>
          <t>Verify that the application only returns the required subset of fields from a data object. For example, it should not return an entire data object, as some individual fields should not be accessible to users.</t>
        </is>
      </c>
      <c r="E15" s="53" t="n">
        <v>1</v>
      </c>
      <c r="F15" s="49" t="inlineStr">
        <is>
          <t>Pending</t>
        </is>
      </c>
      <c r="G15" s="47" t="inlineStr">
        <is>
          <t>Pydantic response schemas return only required fields; sensitive fields excluded from API responses.</t>
        </is>
      </c>
      <c r="H15" s="47" t="n"/>
    </row>
    <row r="16" ht="30" customHeight="1" s="28">
      <c r="A16" s="50" t="inlineStr">
        <is>
          <t>V15.3</t>
        </is>
      </c>
      <c r="B16" s="50" t="inlineStr">
        <is>
          <t>Defensive Coding</t>
        </is>
      </c>
      <c r="C16" s="51" t="inlineStr">
        <is>
          <t>V15.3.2</t>
        </is>
      </c>
      <c r="D16" s="52" t="inlineStr">
        <is>
          <t>Verify that where the application backend makes calls to external URLs, it is configured to not follow redirects unless it is intended functionality.</t>
        </is>
      </c>
      <c r="E16" s="48" t="n">
        <v>2</v>
      </c>
      <c r="F16" s="49" t="inlineStr">
        <is>
          <t>Pending</t>
        </is>
      </c>
      <c r="G16" s="52" t="inlineStr">
        <is>
          <t>No backend HTTP calls to user-supplied URLs; no redirect following from user input.</t>
        </is>
      </c>
      <c r="H16" s="52" t="n"/>
    </row>
    <row r="17" ht="30" customHeight="1" s="28">
      <c r="A17" s="45" t="inlineStr">
        <is>
          <t>V15.3</t>
        </is>
      </c>
      <c r="B17" s="45" t="inlineStr">
        <is>
          <t>Defensive Coding</t>
        </is>
      </c>
      <c r="C17" s="46" t="inlineStr">
        <is>
          <t>V15.3.3</t>
        </is>
      </c>
      <c r="D17" s="47" t="inlineStr">
        <is>
          <t>Verify that the application has countermeasures to protect against mass assignment attacks by limiting allowed fields per controller and action, e.g., it is not possible to insert or update a field value when it was not intended to be part of that action.</t>
        </is>
      </c>
      <c r="E17" s="48" t="n">
        <v>2</v>
      </c>
      <c r="F17" s="49" t="inlineStr">
        <is>
          <t>Pending</t>
        </is>
      </c>
      <c r="G17" s="47" t="inlineStr">
        <is>
          <t>Pydantic schemas define explicit allowed fields per endpoint; mass assignment prevented.</t>
        </is>
      </c>
      <c r="H17" s="47" t="n"/>
    </row>
    <row r="18" ht="30" customHeight="1" s="28">
      <c r="A18" s="50" t="inlineStr">
        <is>
          <t>V15.3</t>
        </is>
      </c>
      <c r="B18" s="50" t="inlineStr">
        <is>
          <t>Defensive Coding</t>
        </is>
      </c>
      <c r="C18" s="51" t="inlineStr">
        <is>
          <t>V15.3.4</t>
        </is>
      </c>
      <c r="D18" s="52" t="inlineStr">
        <is>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is>
      </c>
      <c r="E18" s="48" t="n">
        <v>2</v>
      </c>
      <c r="F18" s="49" t="inlineStr">
        <is>
          <t>Pending</t>
        </is>
      </c>
      <c r="G18" s="52" t="inlineStr">
        <is>
          <t>Nginx passes X-Real-IP header; application uses trusted proxy IP for rate limiting and logging.</t>
        </is>
      </c>
      <c r="H18" s="52" t="n"/>
    </row>
    <row r="19" ht="30" customHeight="1" s="28">
      <c r="A19" s="45" t="inlineStr">
        <is>
          <t>V15.3</t>
        </is>
      </c>
      <c r="B19" s="45" t="inlineStr">
        <is>
          <t>Defensive Coding</t>
        </is>
      </c>
      <c r="C19" s="46" t="inlineStr">
        <is>
          <t>V15.3.5</t>
        </is>
      </c>
      <c r="D19" s="47" t="inlineStr">
        <is>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is>
      </c>
      <c r="E19" s="48" t="n">
        <v>2</v>
      </c>
      <c r="F19" s="49" t="inlineStr">
        <is>
          <t>Pending</t>
        </is>
      </c>
      <c r="G19" s="47" t="inlineStr">
        <is>
          <t>SR-INPUT-01: Pydantic strict type checking enforced; type coercion disabled.</t>
        </is>
      </c>
      <c r="H19" s="47" t="n"/>
    </row>
    <row r="20" ht="30" customHeight="1" s="28">
      <c r="A20" s="50" t="inlineStr">
        <is>
          <t>V15.3</t>
        </is>
      </c>
      <c r="B20" s="50" t="inlineStr">
        <is>
          <t>Defensive Coding</t>
        </is>
      </c>
      <c r="C20" s="51" t="inlineStr">
        <is>
          <t>V15.3.6</t>
        </is>
      </c>
      <c r="D20" s="52" t="inlineStr">
        <is>
          <t>Verify that JavaScript code is written in a way that prevents prototype pollution, for example, by using Set() or Map() instead of object literals.</t>
        </is>
      </c>
      <c r="E20" s="48" t="n">
        <v>2</v>
      </c>
      <c r="F20" s="49" t="inlineStr">
        <is>
          <t>N/A</t>
        </is>
      </c>
      <c r="G20" s="52" t="inlineStr">
        <is>
          <t>Python backend; no JavaScript prototype pollution risk.</t>
        </is>
      </c>
      <c r="H20" s="52" t="n"/>
    </row>
    <row r="21" ht="30" customHeight="1" s="28">
      <c r="A21" s="45" t="inlineStr">
        <is>
          <t>V15.3</t>
        </is>
      </c>
      <c r="B21" s="45" t="inlineStr">
        <is>
          <t>Defensive Coding</t>
        </is>
      </c>
      <c r="C21" s="46" t="inlineStr">
        <is>
          <t>V15.3.7</t>
        </is>
      </c>
      <c r="D21" s="47" t="inlineStr">
        <is>
          <t>Verify that the application has defenses against HTTP parameter pollution attacks, particularly if the application framework makes no distinction about the source of request parameters (query string, body parameters, cookies, or header fields).</t>
        </is>
      </c>
      <c r="E21" s="48" t="n">
        <v>2</v>
      </c>
      <c r="F21" s="49" t="inlineStr">
        <is>
          <t>Pending</t>
        </is>
      </c>
      <c r="G21" s="47" t="inlineStr">
        <is>
          <t>FastAPI distinguishes between path, query, and body parameters; HTTP parameter pollution prevented.</t>
        </is>
      </c>
      <c r="H21" s="47" t="n"/>
    </row>
    <row r="22" ht="18" customHeight="1" s="28">
      <c r="A22" s="44" t="inlineStr">
        <is>
          <t>V15.4</t>
        </is>
      </c>
      <c r="B22" s="44" t="inlineStr">
        <is>
          <t>Safe Concurrency</t>
        </is>
      </c>
      <c r="C22" s="44" t="n"/>
      <c r="D22" s="44" t="n"/>
      <c r="E22" s="44" t="n"/>
      <c r="F22" s="44" t="n"/>
      <c r="G22" s="44" t="n"/>
      <c r="H22" s="44" t="n"/>
    </row>
    <row r="23" ht="30" customHeight="1" s="28">
      <c r="A23" s="45" t="inlineStr">
        <is>
          <t>V15.4</t>
        </is>
      </c>
      <c r="B23" s="45" t="inlineStr">
        <is>
          <t>Safe Concurrency</t>
        </is>
      </c>
      <c r="C23" s="46" t="inlineStr">
        <is>
          <t>V15.4.1</t>
        </is>
      </c>
      <c r="D23" s="47" t="inlineStr">
        <is>
          <t>Verify that shared objects in multi-threaded code (such as caches, files, or in-memory objects accessed by multiple threads) are accessed safely by using thread-safe types and synchronization mechanisms like locks or semaphores to avoid race conditions and data corruption.</t>
        </is>
      </c>
      <c r="E23" s="54" t="n">
        <v>3</v>
      </c>
      <c r="F23" s="49" t="inlineStr">
        <is>
          <t>Pending</t>
        </is>
      </c>
      <c r="G23" s="47" t="inlineStr">
        <is>
          <t>SR-DATA-10: SQLAlchemy SELECT FOR UPDATE provides thread-safe stock operations.</t>
        </is>
      </c>
      <c r="H23" s="47" t="n"/>
    </row>
    <row r="24" ht="30" customHeight="1" s="28">
      <c r="A24" s="50" t="inlineStr">
        <is>
          <t>V15.4</t>
        </is>
      </c>
      <c r="B24" s="50" t="inlineStr">
        <is>
          <t>Safe Concurrency</t>
        </is>
      </c>
      <c r="C24" s="51" t="inlineStr">
        <is>
          <t>V15.4.2</t>
        </is>
      </c>
      <c r="D24" s="52" t="inlineStr">
        <is>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is>
      </c>
      <c r="E24" s="54" t="n">
        <v>3</v>
      </c>
      <c r="F24" s="49" t="inlineStr">
        <is>
          <t>Pending</t>
        </is>
      </c>
      <c r="G24" s="52" t="inlineStr">
        <is>
          <t>SR-DATA-10: Check-and-decrement stock performed atomically within database transaction.</t>
        </is>
      </c>
      <c r="H24" s="52" t="n"/>
    </row>
    <row r="25" ht="30" customHeight="1" s="28">
      <c r="A25" s="45" t="inlineStr">
        <is>
          <t>V15.4</t>
        </is>
      </c>
      <c r="B25" s="45" t="inlineStr">
        <is>
          <t>Safe Concurrency</t>
        </is>
      </c>
      <c r="C25" s="46" t="inlineStr">
        <is>
          <t>V15.4.3</t>
        </is>
      </c>
      <c r="D25" s="47" t="inlineStr">
        <is>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is>
      </c>
      <c r="E25" s="54" t="n">
        <v>3</v>
      </c>
      <c r="F25" s="49" t="inlineStr">
        <is>
          <t>Pending</t>
        </is>
      </c>
      <c r="G25" s="47" t="inlineStr">
        <is>
          <t>SQLAlchemy transaction management ensures lock consistency within session scope.</t>
        </is>
      </c>
      <c r="H25" s="47" t="n"/>
    </row>
    <row r="26" ht="30" customHeight="1" s="28">
      <c r="A26" s="50" t="inlineStr">
        <is>
          <t>V15.4</t>
        </is>
      </c>
      <c r="B26" s="50" t="inlineStr">
        <is>
          <t>Safe Concurrency</t>
        </is>
      </c>
      <c r="C26" s="51" t="inlineStr">
        <is>
          <t>V15.4.4</t>
        </is>
      </c>
      <c r="D26" s="52" t="inlineStr">
        <is>
          <t>Verify that resource allocation policies prevent thread starvation by ensuring fair access to resources, such as by leveraging thread pools, allowing lower-priority threads to proceed within a reasonable timeframe.</t>
        </is>
      </c>
      <c r="E26" s="54" t="n">
        <v>3</v>
      </c>
      <c r="F26" s="49" t="inlineStr">
        <is>
          <t>Pending</t>
        </is>
      </c>
      <c r="G26" s="52" t="inlineStr">
        <is>
          <t>SQLAlchemy connection pool with max_overflow limit ensures fair resource allocation.</t>
        </is>
      </c>
      <c r="H26" s="52" t="n"/>
    </row>
  </sheetData>
  <conditionalFormatting sqref="F2:F2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2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H23"/>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V16.1</t>
        </is>
      </c>
      <c r="B2" s="44" t="inlineStr">
        <is>
          <t>Security Logging Documentation</t>
        </is>
      </c>
      <c r="C2" s="44" t="n"/>
      <c r="D2" s="44" t="n"/>
      <c r="E2" s="44" t="n"/>
      <c r="F2" s="44" t="n"/>
      <c r="G2" s="44" t="n"/>
      <c r="H2" s="44" t="n"/>
    </row>
    <row r="3" ht="30" customHeight="1" s="28">
      <c r="A3" s="45" t="inlineStr">
        <is>
          <t>V16.1</t>
        </is>
      </c>
      <c r="B3" s="45" t="inlineStr">
        <is>
          <t>Security Logging Documentation</t>
        </is>
      </c>
      <c r="C3" s="46" t="inlineStr">
        <is>
          <t>V16.1.1</t>
        </is>
      </c>
      <c r="D3" s="47" t="inlineStr">
        <is>
          <t>Verify that an inventory exists documenting the logging performed at each layer of the application's technology stack, what events are being logged, log formats, where that logging is stored, how it is used, how access to it is controlled, and for how long logs are kept.</t>
        </is>
      </c>
      <c r="E3" s="48" t="n">
        <v>2</v>
      </c>
      <c r="F3" s="49" t="inlineStr">
        <is>
          <t>Pending</t>
        </is>
      </c>
      <c r="G3" s="47" t="inlineStr">
        <is>
          <t>SR-LOG-01, SR-LOG-03: Audit log inventory defined; events, format, storage, access controls, and retention documented.</t>
        </is>
      </c>
      <c r="H3" s="47" t="n"/>
    </row>
    <row r="4" ht="18" customHeight="1" s="28">
      <c r="A4" s="44" t="inlineStr">
        <is>
          <t>V16.2</t>
        </is>
      </c>
      <c r="B4" s="44" t="inlineStr">
        <is>
          <t>General Logging</t>
        </is>
      </c>
      <c r="C4" s="44" t="n"/>
      <c r="D4" s="44" t="n"/>
      <c r="E4" s="44" t="n"/>
      <c r="F4" s="44" t="n"/>
      <c r="G4" s="44" t="n"/>
      <c r="H4" s="44" t="n"/>
    </row>
    <row r="5" ht="30" customHeight="1" s="28">
      <c r="A5" s="45" t="inlineStr">
        <is>
          <t>V16.2</t>
        </is>
      </c>
      <c r="B5" s="45" t="inlineStr">
        <is>
          <t>General Logging</t>
        </is>
      </c>
      <c r="C5" s="46" t="inlineStr">
        <is>
          <t>V16.2.1</t>
        </is>
      </c>
      <c r="D5" s="47" t="inlineStr">
        <is>
          <t>Verify that each log entry includes necessary metadata (such as when, where, who, what) that would allow for a detailed investigation of the timeline when an event happens.</t>
        </is>
      </c>
      <c r="E5" s="48" t="n">
        <v>2</v>
      </c>
      <c r="F5" s="49" t="inlineStr">
        <is>
          <t>Pending</t>
        </is>
      </c>
      <c r="G5" s="47" t="inlineStr">
        <is>
          <t>SR-LOG-01: Each log entry includes user ID, action, target resource, timestamp, IP address, and result.</t>
        </is>
      </c>
      <c r="H5" s="47" t="n"/>
    </row>
    <row r="6" ht="30" customHeight="1" s="28">
      <c r="A6" s="50" t="inlineStr">
        <is>
          <t>V16.2</t>
        </is>
      </c>
      <c r="B6" s="50" t="inlineStr">
        <is>
          <t>General Logging</t>
        </is>
      </c>
      <c r="C6" s="51" t="inlineStr">
        <is>
          <t>V16.2.2</t>
        </is>
      </c>
      <c r="D6" s="52" t="inlineStr">
        <is>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is>
      </c>
      <c r="E6" s="48" t="n">
        <v>2</v>
      </c>
      <c r="F6" s="49" t="inlineStr">
        <is>
          <t>Pending</t>
        </is>
      </c>
      <c r="G6" s="52" t="inlineStr">
        <is>
          <t>UTC timestamps used in all audit log entries for consistency.</t>
        </is>
      </c>
      <c r="H6" s="52" t="n"/>
    </row>
    <row r="7" ht="30" customHeight="1" s="28">
      <c r="A7" s="45" t="inlineStr">
        <is>
          <t>V16.2</t>
        </is>
      </c>
      <c r="B7" s="45" t="inlineStr">
        <is>
          <t>General Logging</t>
        </is>
      </c>
      <c r="C7" s="46" t="inlineStr">
        <is>
          <t>V16.2.3</t>
        </is>
      </c>
      <c r="D7" s="47" t="inlineStr">
        <is>
          <t>Verify that the application only stores or broadcasts logs to the files and services that are documented in the log inventory.</t>
        </is>
      </c>
      <c r="E7" s="48" t="n">
        <v>2</v>
      </c>
      <c r="F7" s="49" t="inlineStr">
        <is>
          <t>Pending</t>
        </is>
      </c>
      <c r="G7" s="47" t="inlineStr">
        <is>
          <t>SR-LOG-01: Application logs only to the documented audit log; no undocumented log destinations.</t>
        </is>
      </c>
      <c r="H7" s="47" t="n"/>
    </row>
    <row r="8" ht="30" customHeight="1" s="28">
      <c r="A8" s="50" t="inlineStr">
        <is>
          <t>V16.2</t>
        </is>
      </c>
      <c r="B8" s="50" t="inlineStr">
        <is>
          <t>General Logging</t>
        </is>
      </c>
      <c r="C8" s="51" t="inlineStr">
        <is>
          <t>V16.2.4</t>
        </is>
      </c>
      <c r="D8" s="52" t="inlineStr">
        <is>
          <t>Verify that logs can be read and correlated by the log processor that is in use, preferably by using a common logging format.</t>
        </is>
      </c>
      <c r="E8" s="48" t="n">
        <v>2</v>
      </c>
      <c r="F8" s="49" t="inlineStr">
        <is>
          <t>Pending</t>
        </is>
      </c>
      <c r="G8" s="52" t="inlineStr">
        <is>
          <t>Structured logging format (JSON) used; machine-readable and correlatable.</t>
        </is>
      </c>
      <c r="H8" s="52" t="n"/>
    </row>
    <row r="9" ht="30" customHeight="1" s="28">
      <c r="A9" s="45" t="inlineStr">
        <is>
          <t>V16.2</t>
        </is>
      </c>
      <c r="B9" s="45" t="inlineStr">
        <is>
          <t>General Logging</t>
        </is>
      </c>
      <c r="C9" s="46" t="inlineStr">
        <is>
          <t>V16.2.5</t>
        </is>
      </c>
      <c r="D9" s="47" t="inlineStr">
        <is>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is>
      </c>
      <c r="E9" s="48" t="n">
        <v>2</v>
      </c>
      <c r="F9" s="49" t="inlineStr">
        <is>
          <t>Pending</t>
        </is>
      </c>
      <c r="G9" s="47" t="inlineStr">
        <is>
          <t>SR-LOG-04, SR-DATA-08: Passwords, tokens, and file contents never logged; sensitive fields masked.</t>
        </is>
      </c>
      <c r="H9" s="47" t="n"/>
    </row>
    <row r="10" ht="18" customHeight="1" s="28">
      <c r="A10" s="44" t="inlineStr">
        <is>
          <t>V16.3</t>
        </is>
      </c>
      <c r="B10" s="44" t="inlineStr">
        <is>
          <t>Security Events</t>
        </is>
      </c>
      <c r="C10" s="44" t="n"/>
      <c r="D10" s="44" t="n"/>
      <c r="E10" s="44" t="n"/>
      <c r="F10" s="44" t="n"/>
      <c r="G10" s="44" t="n"/>
      <c r="H10" s="44" t="n"/>
    </row>
    <row r="11" ht="30" customHeight="1" s="28">
      <c r="A11" s="45" t="inlineStr">
        <is>
          <t>V16.3</t>
        </is>
      </c>
      <c r="B11" s="45" t="inlineStr">
        <is>
          <t>Security Events</t>
        </is>
      </c>
      <c r="C11" s="46" t="inlineStr">
        <is>
          <t>V16.3.1</t>
        </is>
      </c>
      <c r="D11" s="47" t="inlineStr">
        <is>
          <t>Verify that all authentication operations are logged, including successful and unsuccessful attempts. Additional metadata, such as the type of authentication or factors used, should also be collected.</t>
        </is>
      </c>
      <c r="E11" s="48" t="n">
        <v>2</v>
      </c>
      <c r="F11" s="49" t="inlineStr">
        <is>
          <t>Pending</t>
        </is>
      </c>
      <c r="G11" s="47" t="inlineStr">
        <is>
          <t>SR-AUTH-10, SR-LOG-03: All authentication attempts (success and failure) logged with metadata.</t>
        </is>
      </c>
      <c r="H11" s="47" t="n"/>
    </row>
    <row r="12" ht="30" customHeight="1" s="28">
      <c r="A12" s="50" t="inlineStr">
        <is>
          <t>V16.3</t>
        </is>
      </c>
      <c r="B12" s="50" t="inlineStr">
        <is>
          <t>Security Events</t>
        </is>
      </c>
      <c r="C12" s="51" t="inlineStr">
        <is>
          <t>V16.3.2</t>
        </is>
      </c>
      <c r="D12" s="52" t="inlineStr">
        <is>
          <t>Verify that failed authorization attempts are logged. For L3, this must include logging all authorization decisions, including logging when sensitive data is accessed (without logging the sensitive data itself).</t>
        </is>
      </c>
      <c r="E12" s="48" t="n">
        <v>2</v>
      </c>
      <c r="F12" s="49" t="inlineStr">
        <is>
          <t>Pending</t>
        </is>
      </c>
      <c r="G12" s="52" t="inlineStr">
        <is>
          <t>SR-AUTHZ-07, SR-LOG-03: All authorization failures logged. Access to sensitive data logged.</t>
        </is>
      </c>
      <c r="H12" s="52" t="n"/>
    </row>
    <row r="13" ht="30" customHeight="1" s="28">
      <c r="A13" s="45" t="inlineStr">
        <is>
          <t>V16.3</t>
        </is>
      </c>
      <c r="B13" s="45" t="inlineStr">
        <is>
          <t>Security Events</t>
        </is>
      </c>
      <c r="C13" s="46" t="inlineStr">
        <is>
          <t>V16.3.3</t>
        </is>
      </c>
      <c r="D13" s="47" t="inlineStr">
        <is>
          <t>Verify that the application logs the security events that are defined in the documentation and also logs attempts to bypass the security controls, such as input validation, business logic, and anti-automation.</t>
        </is>
      </c>
      <c r="E13" s="48" t="n">
        <v>2</v>
      </c>
      <c r="F13" s="49" t="inlineStr">
        <is>
          <t>Pending</t>
        </is>
      </c>
      <c r="G13" s="47" t="inlineStr">
        <is>
          <t>SR-LOG-03: Comprehensive event logging including input validation failures and business logic bypasses.</t>
        </is>
      </c>
      <c r="H13" s="47" t="n"/>
    </row>
    <row r="14" ht="30" customHeight="1" s="28">
      <c r="A14" s="50" t="inlineStr">
        <is>
          <t>V16.3</t>
        </is>
      </c>
      <c r="B14" s="50" t="inlineStr">
        <is>
          <t>Security Events</t>
        </is>
      </c>
      <c r="C14" s="51" t="inlineStr">
        <is>
          <t>V16.3.4</t>
        </is>
      </c>
      <c r="D14" s="52" t="inlineStr">
        <is>
          <t>Verify that the application logs unexpected errors and security control failures such as backend TLS failures.</t>
        </is>
      </c>
      <c r="E14" s="48" t="n">
        <v>2</v>
      </c>
      <c r="F14" s="49" t="inlineStr">
        <is>
          <t>Pending</t>
        </is>
      </c>
      <c r="G14" s="52" t="inlineStr">
        <is>
          <t>SR-LOG-01: Unexpected errors and security control failures logged to audit log.</t>
        </is>
      </c>
      <c r="H14" s="52" t="n"/>
    </row>
    <row r="15" ht="18" customHeight="1" s="28">
      <c r="A15" s="44" t="inlineStr">
        <is>
          <t>V16.4</t>
        </is>
      </c>
      <c r="B15" s="44" t="inlineStr">
        <is>
          <t>Log Protection</t>
        </is>
      </c>
      <c r="C15" s="44" t="n"/>
      <c r="D15" s="44" t="n"/>
      <c r="E15" s="44" t="n"/>
      <c r="F15" s="44" t="n"/>
      <c r="G15" s="44" t="n"/>
      <c r="H15" s="44" t="n"/>
    </row>
    <row r="16" ht="30" customHeight="1" s="28">
      <c r="A16" s="45" t="inlineStr">
        <is>
          <t>V16.4</t>
        </is>
      </c>
      <c r="B16" s="45" t="inlineStr">
        <is>
          <t>Log Protection</t>
        </is>
      </c>
      <c r="C16" s="46" t="inlineStr">
        <is>
          <t>V16.4.1</t>
        </is>
      </c>
      <c r="D16" s="47" t="inlineStr">
        <is>
          <t>Verify that all logging components appropriately encode data to prevent log injection.</t>
        </is>
      </c>
      <c r="E16" s="48" t="n">
        <v>2</v>
      </c>
      <c r="F16" s="49" t="inlineStr">
        <is>
          <t>Pending</t>
        </is>
      </c>
      <c r="G16" s="47" t="inlineStr">
        <is>
          <t>Structured logging prevents log injection; user input not interpolated directly into log strings.</t>
        </is>
      </c>
      <c r="H16" s="47" t="n"/>
    </row>
    <row r="17" ht="30" customHeight="1" s="28">
      <c r="A17" s="50" t="inlineStr">
        <is>
          <t>V16.4</t>
        </is>
      </c>
      <c r="B17" s="50" t="inlineStr">
        <is>
          <t>Log Protection</t>
        </is>
      </c>
      <c r="C17" s="51" t="inlineStr">
        <is>
          <t>V16.4.2</t>
        </is>
      </c>
      <c r="D17" s="52" t="inlineStr">
        <is>
          <t>Verify that logs are protected from unauthorized access and cannot be modified.</t>
        </is>
      </c>
      <c r="E17" s="48" t="n">
        <v>2</v>
      </c>
      <c r="F17" s="49" t="inlineStr">
        <is>
          <t>Pending</t>
        </is>
      </c>
      <c r="G17" s="52" t="inlineStr">
        <is>
          <t>SR-LOG-02: Audit log DB user has INSERT and SELECT only; no UPDATE/DELETE permitted.</t>
        </is>
      </c>
      <c r="H17" s="52" t="n"/>
    </row>
    <row r="18" ht="30" customHeight="1" s="28">
      <c r="A18" s="45" t="inlineStr">
        <is>
          <t>V16.4</t>
        </is>
      </c>
      <c r="B18" s="45" t="inlineStr">
        <is>
          <t>Log Protection</t>
        </is>
      </c>
      <c r="C18" s="46" t="inlineStr">
        <is>
          <t>V16.4.3</t>
        </is>
      </c>
      <c r="D18" s="47" t="inlineStr">
        <is>
          <t>Verify that logs are securely transmitted to a logically separate system for analysis, detection, alerting, and escalation. The aim is to ensure that if the application is breached, the logs are not compromised.</t>
        </is>
      </c>
      <c r="E18" s="48" t="n">
        <v>2</v>
      </c>
      <c r="F18" s="49" t="inlineStr">
        <is>
          <t>N/A</t>
        </is>
      </c>
      <c r="G18" s="47" t="inlineStr">
        <is>
          <t>Logs stored in same system in Phase 1; separate log transmission to SIEM not implemented.</t>
        </is>
      </c>
      <c r="H18" s="47" t="n"/>
    </row>
    <row r="19" ht="18" customHeight="1" s="28">
      <c r="A19" s="44" t="inlineStr">
        <is>
          <t>V16.5</t>
        </is>
      </c>
      <c r="B19" s="44" t="inlineStr">
        <is>
          <t>Error Handling</t>
        </is>
      </c>
      <c r="C19" s="44" t="n"/>
      <c r="D19" s="44" t="n"/>
      <c r="E19" s="44" t="n"/>
      <c r="F19" s="44" t="n"/>
      <c r="G19" s="44" t="n"/>
      <c r="H19" s="44" t="n"/>
    </row>
    <row r="20" ht="30" customHeight="1" s="28">
      <c r="A20" s="45" t="inlineStr">
        <is>
          <t>V16.5</t>
        </is>
      </c>
      <c r="B20" s="45" t="inlineStr">
        <is>
          <t>Error Handling</t>
        </is>
      </c>
      <c r="C20" s="46" t="inlineStr">
        <is>
          <t>V16.5.1</t>
        </is>
      </c>
      <c r="D20" s="47" t="inlineStr">
        <is>
          <t>Verify that a generic message is returned to the consumer when an unexpected or security-sensitive error occurs, ensuring no exposure of sensitive internal system data such as stack traces, queries, secret keys, and tokens.</t>
        </is>
      </c>
      <c r="E20" s="48" t="n">
        <v>2</v>
      </c>
      <c r="F20" s="49" t="inlineStr">
        <is>
          <t>Pending</t>
        </is>
      </c>
      <c r="G20" s="47" t="inlineStr">
        <is>
          <t>SR-LOG-05: Generic error messages returned; no stack traces, DB errors, or internal paths exposed.</t>
        </is>
      </c>
      <c r="H20" s="47" t="n"/>
    </row>
    <row r="21" ht="30" customHeight="1" s="28">
      <c r="A21" s="50" t="inlineStr">
        <is>
          <t>V16.5</t>
        </is>
      </c>
      <c r="B21" s="50" t="inlineStr">
        <is>
          <t>Error Handling</t>
        </is>
      </c>
      <c r="C21" s="51" t="inlineStr">
        <is>
          <t>V16.5.2</t>
        </is>
      </c>
      <c r="D21" s="52" t="inlineStr">
        <is>
          <t>Verify that the application continues to operate securely when external resource access fails, for example, by using patterns such as circuit breakers or graceful degradation.</t>
        </is>
      </c>
      <c r="E21" s="48" t="n">
        <v>2</v>
      </c>
      <c r="F21" s="49" t="inlineStr">
        <is>
          <t>Pending</t>
        </is>
      </c>
      <c r="G21" s="52" t="inlineStr">
        <is>
          <t>FastAPI exception handlers provide graceful degradation on external service failures.</t>
        </is>
      </c>
      <c r="H21" s="52" t="n"/>
    </row>
    <row r="22" ht="30" customHeight="1" s="28">
      <c r="A22" s="45" t="inlineStr">
        <is>
          <t>V16.5</t>
        </is>
      </c>
      <c r="B22" s="45" t="inlineStr">
        <is>
          <t>Error Handling</t>
        </is>
      </c>
      <c r="C22" s="46" t="inlineStr">
        <is>
          <t>V16.5.3</t>
        </is>
      </c>
      <c r="D22" s="47" t="inlineStr">
        <is>
          <t>Verify that the application fails gracefully and securely, including when an exception occurs, preventing fail-open conditions such as processing a transaction despite errors resulting from validation logic.</t>
        </is>
      </c>
      <c r="E22" s="48" t="n">
        <v>2</v>
      </c>
      <c r="F22" s="49" t="inlineStr">
        <is>
          <t>Pending</t>
        </is>
      </c>
      <c r="G22" s="47" t="inlineStr">
        <is>
          <t>FastAPI global exception handler catches all unhandled exceptions; transactions roll back on error.</t>
        </is>
      </c>
      <c r="H22" s="47" t="n"/>
    </row>
    <row r="23" ht="30" customHeight="1" s="28">
      <c r="A23" s="50" t="inlineStr">
        <is>
          <t>V16.5</t>
        </is>
      </c>
      <c r="B23" s="50" t="inlineStr">
        <is>
          <t>Error Handling</t>
        </is>
      </c>
      <c r="C23" s="51" t="inlineStr">
        <is>
          <t>V16.5.4</t>
        </is>
      </c>
      <c r="D23" s="52" t="inlineStr">
        <is>
          <t>Verify that a "last resort" error handler is defined which will catch all unhandled exceptions. This is both to avoid losing error details that must go to log files and to ensure that an error does not take down the entire application process, leading to a loss of availability.</t>
        </is>
      </c>
      <c r="E23" s="54" t="n">
        <v>3</v>
      </c>
      <c r="F23" s="49" t="inlineStr">
        <is>
          <t>Pending</t>
        </is>
      </c>
      <c r="G23" s="52" t="inlineStr">
        <is>
          <t>FastAPI global exception handler acts as last-resort handler; prevents application crash on unhandled exceptions.</t>
        </is>
      </c>
      <c r="H23" s="52" t="n"/>
    </row>
  </sheetData>
  <conditionalFormatting sqref="F2:F23">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23"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H1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V17.1</t>
        </is>
      </c>
      <c r="B2" s="44" t="inlineStr">
        <is>
          <t>TURN Server</t>
        </is>
      </c>
      <c r="C2" s="44" t="n"/>
      <c r="D2" s="44" t="n"/>
      <c r="E2" s="44" t="n"/>
      <c r="F2" s="44" t="n"/>
      <c r="G2" s="44" t="n"/>
      <c r="H2" s="44" t="n"/>
    </row>
    <row r="3" ht="30" customHeight="1" s="28">
      <c r="A3" s="45" t="inlineStr">
        <is>
          <t>V17.1</t>
        </is>
      </c>
      <c r="B3" s="45" t="inlineStr">
        <is>
          <t>TURN Server</t>
        </is>
      </c>
      <c r="C3" s="46" t="inlineStr">
        <is>
          <t>V17.1.1</t>
        </is>
      </c>
      <c r="D3" s="47" t="inlineStr">
        <is>
          <t>Verify that the Traversal Using Relays around NAT (TURN) service only allows access to IP addresses that are not reserved for special purposes (e.g., internal networks, broadcast, loopback). Note that this applies to both IPv4 and IPv6 addresses.</t>
        </is>
      </c>
      <c r="E3" s="48" t="n">
        <v>2</v>
      </c>
      <c r="F3" s="49" t="inlineStr">
        <is>
          <t>N/A</t>
        </is>
      </c>
      <c r="G3" s="47" t="inlineStr">
        <is>
          <t>No WebRTC or TURN server in SecureMarket.</t>
        </is>
      </c>
      <c r="H3" s="47" t="n"/>
    </row>
    <row r="4" ht="30" customHeight="1" s="28">
      <c r="A4" s="50" t="inlineStr">
        <is>
          <t>V17.1</t>
        </is>
      </c>
      <c r="B4" s="50" t="inlineStr">
        <is>
          <t>TURN Server</t>
        </is>
      </c>
      <c r="C4" s="51" t="inlineStr">
        <is>
          <t>V17.1.2</t>
        </is>
      </c>
      <c r="D4" s="52" t="inlineStr">
        <is>
          <t>Verify that the Traversal Using Relays around NAT (TURN) service is not susceptible to resource exhaustion when legitimate users attempt to open a large number of ports on the TURN server.</t>
        </is>
      </c>
      <c r="E4" s="54" t="n">
        <v>3</v>
      </c>
      <c r="F4" s="49" t="inlineStr">
        <is>
          <t>N/A</t>
        </is>
      </c>
      <c r="G4" s="52" t="inlineStr">
        <is>
          <t>No WebRTC or TURN server in SecureMarket.</t>
        </is>
      </c>
      <c r="H4" s="52" t="n"/>
    </row>
    <row r="5" ht="18" customHeight="1" s="28">
      <c r="A5" s="44" t="inlineStr">
        <is>
          <t>V17.2</t>
        </is>
      </c>
      <c r="B5" s="44" t="inlineStr">
        <is>
          <t>Media</t>
        </is>
      </c>
      <c r="C5" s="44" t="n"/>
      <c r="D5" s="44" t="n"/>
      <c r="E5" s="44" t="n"/>
      <c r="F5" s="44" t="n"/>
      <c r="G5" s="44" t="n"/>
      <c r="H5" s="44" t="n"/>
    </row>
    <row r="6" ht="30" customHeight="1" s="28">
      <c r="A6" s="45" t="inlineStr">
        <is>
          <t>V17.2</t>
        </is>
      </c>
      <c r="B6" s="45" t="inlineStr">
        <is>
          <t>Media</t>
        </is>
      </c>
      <c r="C6" s="46" t="inlineStr">
        <is>
          <t>V17.2.1</t>
        </is>
      </c>
      <c r="D6" s="47" t="inlineStr">
        <is>
          <t>Verify that the key for the Datagram Transport Layer Security (DTLS) certificate is managed and protected based on the documented policy for management of cryptographic keys.</t>
        </is>
      </c>
      <c r="E6" s="48" t="n">
        <v>2</v>
      </c>
      <c r="F6" s="49" t="inlineStr">
        <is>
          <t>N/A</t>
        </is>
      </c>
      <c r="G6" s="47" t="inlineStr">
        <is>
          <t>No WebRTC or DTLS in SecureMarket.</t>
        </is>
      </c>
      <c r="H6" s="47" t="n"/>
    </row>
    <row r="7" ht="30" customHeight="1" s="28">
      <c r="A7" s="50" t="inlineStr">
        <is>
          <t>V17.2</t>
        </is>
      </c>
      <c r="B7" s="50" t="inlineStr">
        <is>
          <t>Media</t>
        </is>
      </c>
      <c r="C7" s="51" t="inlineStr">
        <is>
          <t>V17.2.2</t>
        </is>
      </c>
      <c r="D7" s="52" t="inlineStr">
        <is>
          <t>Verify that the media server is configured to use and support approved Datagram Transport Layer Security (DTLS) cipher suites and a secure protection profile for the DTLS Extension for establishing keys for the Secure Real-time Transport Protocol (DTLS-SRTP).</t>
        </is>
      </c>
      <c r="E7" s="48" t="n">
        <v>2</v>
      </c>
      <c r="F7" s="49" t="inlineStr">
        <is>
          <t>N/A</t>
        </is>
      </c>
      <c r="G7" s="52" t="inlineStr">
        <is>
          <t>No WebRTC or DTLS in SecureMarket.</t>
        </is>
      </c>
      <c r="H7" s="52" t="n"/>
    </row>
    <row r="8" ht="30" customHeight="1" s="28">
      <c r="A8" s="45" t="inlineStr">
        <is>
          <t>V17.2</t>
        </is>
      </c>
      <c r="B8" s="45" t="inlineStr">
        <is>
          <t>Media</t>
        </is>
      </c>
      <c r="C8" s="46" t="inlineStr">
        <is>
          <t>V17.2.3</t>
        </is>
      </c>
      <c r="D8" s="47" t="inlineStr">
        <is>
          <t>Verify that Secure Real-time Transport Protocol (SRTP) authentication is checked at the media server to prevent Real-time Transport Protocol (RTP) injection attacks from leading to either a Denial of Service condition or audio or video media insertion into media streams.</t>
        </is>
      </c>
      <c r="E8" s="48" t="n">
        <v>2</v>
      </c>
      <c r="F8" s="49" t="inlineStr">
        <is>
          <t>N/A</t>
        </is>
      </c>
      <c r="G8" s="47" t="inlineStr">
        <is>
          <t>No WebRTC or SRTP in SecureMarket.</t>
        </is>
      </c>
      <c r="H8" s="47" t="n"/>
    </row>
    <row r="9" ht="30" customHeight="1" s="28">
      <c r="A9" s="50" t="inlineStr">
        <is>
          <t>V17.2</t>
        </is>
      </c>
      <c r="B9" s="50" t="inlineStr">
        <is>
          <t>Media</t>
        </is>
      </c>
      <c r="C9" s="51" t="inlineStr">
        <is>
          <t>V17.2.4</t>
        </is>
      </c>
      <c r="D9" s="52" t="inlineStr">
        <is>
          <t>Verify that the media server is able to continue processing incoming media traffic when encountering malformed Secure Real-time Transport Protocol (SRTP) packets.</t>
        </is>
      </c>
      <c r="E9" s="48" t="n">
        <v>2</v>
      </c>
      <c r="F9" s="49" t="inlineStr">
        <is>
          <t>N/A</t>
        </is>
      </c>
      <c r="G9" s="52" t="inlineStr">
        <is>
          <t>No WebRTC or SRTP in SecureMarket.</t>
        </is>
      </c>
      <c r="H9" s="52" t="n"/>
    </row>
    <row r="10" ht="30" customHeight="1" s="28">
      <c r="A10" s="45" t="inlineStr">
        <is>
          <t>V17.2</t>
        </is>
      </c>
      <c r="B10" s="45" t="inlineStr">
        <is>
          <t>Media</t>
        </is>
      </c>
      <c r="C10" s="46" t="inlineStr">
        <is>
          <t>V17.2.5</t>
        </is>
      </c>
      <c r="D10" s="47" t="inlineStr">
        <is>
          <t>Verify that the media server is able to continue processing incoming media traffic during a flood of Secure Real-time Transport Protocol (SRTP) packets from legitimate users.</t>
        </is>
      </c>
      <c r="E10" s="54" t="n">
        <v>3</v>
      </c>
      <c r="F10" s="49" t="inlineStr">
        <is>
          <t>N/A</t>
        </is>
      </c>
      <c r="G10" s="47" t="inlineStr">
        <is>
          <t>No WebRTC in SecureMarket.</t>
        </is>
      </c>
      <c r="H10" s="47" t="n"/>
    </row>
    <row r="11" ht="30" customHeight="1" s="28">
      <c r="A11" s="50" t="inlineStr">
        <is>
          <t>V17.2</t>
        </is>
      </c>
      <c r="B11" s="50" t="inlineStr">
        <is>
          <t>Media</t>
        </is>
      </c>
      <c r="C11" s="51" t="inlineStr">
        <is>
          <t>V17.2.6</t>
        </is>
      </c>
      <c r="D11" s="52" t="inlineStr">
        <is>
          <t>Verify that the media server is not susceptible to the "ClientHello" Race Condition vulnerability in Datagram Transport Layer Security (DTLS) by checking if the media server is publicly known to be vulnerable or by performing the race condition test.</t>
        </is>
      </c>
      <c r="E11" s="54" t="n">
        <v>3</v>
      </c>
      <c r="F11" s="49" t="inlineStr">
        <is>
          <t>N/A</t>
        </is>
      </c>
      <c r="G11" s="52" t="inlineStr">
        <is>
          <t>No WebRTC or DTLS in SecureMarket.</t>
        </is>
      </c>
      <c r="H11" s="52" t="n"/>
    </row>
    <row r="12" ht="30" customHeight="1" s="28">
      <c r="A12" s="45" t="inlineStr">
        <is>
          <t>V17.2</t>
        </is>
      </c>
      <c r="B12" s="45" t="inlineStr">
        <is>
          <t>Media</t>
        </is>
      </c>
      <c r="C12" s="46" t="inlineStr">
        <is>
          <t>V17.2.7</t>
        </is>
      </c>
      <c r="D12" s="47" t="inlineStr">
        <is>
          <t>Verify that any audio or video recording mechanisms associated with the media server are able to continue processing incoming media traffic during a flood of Secure Real-time Transport Protocol (SRTP) packets from legitimate users.</t>
        </is>
      </c>
      <c r="E12" s="54" t="n">
        <v>3</v>
      </c>
      <c r="F12" s="49" t="inlineStr">
        <is>
          <t>N/A</t>
        </is>
      </c>
      <c r="G12" s="47" t="inlineStr">
        <is>
          <t>No WebRTC recording in SecureMarket.</t>
        </is>
      </c>
      <c r="H12" s="47" t="n"/>
    </row>
    <row r="13" ht="30" customHeight="1" s="28">
      <c r="A13" s="50" t="inlineStr">
        <is>
          <t>V17.2</t>
        </is>
      </c>
      <c r="B13" s="50" t="inlineStr">
        <is>
          <t>Media</t>
        </is>
      </c>
      <c r="C13" s="51" t="inlineStr">
        <is>
          <t>V17.2.8</t>
        </is>
      </c>
      <c r="D13" s="52" t="inlineStr">
        <is>
          <t>Verify that the Datagram Transport Layer Security (DTLS) certificate is checked against the Session Description Protocol (SDP) fingerprint attribute, terminating the media stream if the check fails, to ensure the authenticity of the media stream.</t>
        </is>
      </c>
      <c r="E13" s="54" t="n">
        <v>3</v>
      </c>
      <c r="F13" s="49" t="inlineStr">
        <is>
          <t>N/A</t>
        </is>
      </c>
      <c r="G13" s="52" t="inlineStr">
        <is>
          <t>No WebRTC or DTLS in SecureMarket.</t>
        </is>
      </c>
      <c r="H13" s="52" t="n"/>
    </row>
    <row r="14" ht="18" customHeight="1" s="28">
      <c r="A14" s="44" t="inlineStr">
        <is>
          <t>V17.3</t>
        </is>
      </c>
      <c r="B14" s="44" t="inlineStr">
        <is>
          <t>Signaling</t>
        </is>
      </c>
      <c r="C14" s="44" t="n"/>
      <c r="D14" s="44" t="n"/>
      <c r="E14" s="44" t="n"/>
      <c r="F14" s="44" t="n"/>
      <c r="G14" s="44" t="n"/>
      <c r="H14" s="44" t="n"/>
    </row>
    <row r="15" ht="30" customHeight="1" s="28">
      <c r="A15" s="45" t="inlineStr">
        <is>
          <t>V17.3</t>
        </is>
      </c>
      <c r="B15" s="45" t="inlineStr">
        <is>
          <t>Signaling</t>
        </is>
      </c>
      <c r="C15" s="46" t="inlineStr">
        <is>
          <t>V17.3.1</t>
        </is>
      </c>
      <c r="D15" s="47" t="inlineStr">
        <is>
          <t>Verify that the signaling server is able to continue processing legitimate incoming signaling messages during a flood attack. This should be achieved by implementing rate limiting at the signaling level.</t>
        </is>
      </c>
      <c r="E15" s="48" t="n">
        <v>2</v>
      </c>
      <c r="F15" s="49" t="inlineStr">
        <is>
          <t>N/A</t>
        </is>
      </c>
      <c r="G15" s="47" t="inlineStr">
        <is>
          <t>No WebRTC signaling server in SecureMarket.</t>
        </is>
      </c>
      <c r="H15" s="47" t="n"/>
    </row>
    <row r="16" ht="30" customHeight="1" s="28">
      <c r="A16" s="50" t="inlineStr">
        <is>
          <t>V17.3</t>
        </is>
      </c>
      <c r="B16" s="50" t="inlineStr">
        <is>
          <t>Signaling</t>
        </is>
      </c>
      <c r="C16" s="51" t="inlineStr">
        <is>
          <t>V17.3.2</t>
        </is>
      </c>
      <c r="D16" s="52" t="inlineStr">
        <is>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is>
      </c>
      <c r="E16" s="48" t="n">
        <v>2</v>
      </c>
      <c r="F16" s="49" t="inlineStr">
        <is>
          <t>N/A</t>
        </is>
      </c>
      <c r="G16" s="52" t="inlineStr">
        <is>
          <t>No WebRTC signaling server in SecureMarket.</t>
        </is>
      </c>
      <c r="H16" s="52" t="n"/>
    </row>
  </sheetData>
  <conditionalFormatting sqref="F2:F1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pt-PT</dc:language>
  <dcterms:created xmlns:dcterms="http://purl.org/dc/terms/" xmlns:xsi="http://www.w3.org/2001/XMLSchema-instance" xsi:type="dcterms:W3CDTF">2026-03-04T10:14:28Z</dcterms:created>
  <dcterms:modified xmlns:dcterms="http://purl.org/dc/terms/" xmlns:xsi="http://www.w3.org/2001/XMLSchema-instance" xsi:type="dcterms:W3CDTF">2026-04-20T17:16:52Z</dcterms:modified>
  <cp:revision>3</cp:revision>
</cp:coreProperties>
</file>

<file path=docProps/custom.xml><?xml version="1.0" encoding="utf-8"?>
<Properties xmlns="http://schemas.openxmlformats.org/officeDocument/2006/custom-properties">
  <property name="AppVersion" fmtid="{D5CDD505-2E9C-101B-9397-08002B2CF9AE}" pid="2">
    <vt:lpwstr xmlns:vt="http://schemas.openxmlformats.org/officeDocument/2006/docPropsVTypes">3.1</vt:lpwstr>
  </property>
</Properties>
</file>